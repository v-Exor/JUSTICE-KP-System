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tables/table11.xml" ContentType="application/vnd.openxmlformats-officedocument.spreadsheetml.table+xml"/>
  <Override PartName="/xl/worksheets/sheet14.xml" ContentType="application/vnd.openxmlformats-officedocument.spreadsheetml.worksheet+xml"/>
  <Override PartName="/xl/tables/table12.xml" ContentType="application/vnd.openxmlformats-officedocument.spreadsheetml.table+xml"/>
  <Override PartName="/xl/worksheets/sheet15.xml" ContentType="application/vnd.openxmlformats-officedocument.spreadsheetml.worksheet+xml"/>
  <Override PartName="/xl/tables/table1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7c7de217f5d4d49" /></Relationships>
</file>

<file path=xl/workbook.xml><?xml version="1.0" encoding="utf-8"?>
<x:workbook xmlns:x="http://schemas.openxmlformats.org/spreadsheetml/2006/main">
  <x:sheets>
    <x:sheet xmlns:r="http://schemas.openxmlformats.org/officeDocument/2006/relationships" name="Summary" sheetId="1" r:id="Ra1ba944258004f72"/>
    <x:sheet xmlns:r="http://schemas.openxmlformats.org/officeDocument/2006/relationships" name="Balanced_Dataset" sheetId="2" r:id="Rbe05f6a9571246aa"/>
    <x:sheet xmlns:r="http://schemas.openxmlformats.org/officeDocument/2006/relationships" name="Parsed_PDF_Cases" sheetId="3" r:id="Rcdf7259bfb7440a0"/>
    <x:sheet xmlns:r="http://schemas.openxmlformats.org/officeDocument/2006/relationships" name="Classification_Rules" sheetId="4" r:id="Rf439dec9aeb448c9"/>
    <x:sheet xmlns:r="http://schemas.openxmlformats.org/officeDocument/2006/relationships" name="debt" sheetId="5" r:id="R74366e9c6ae74fe1"/>
    <x:sheet xmlns:r="http://schemas.openxmlformats.org/officeDocument/2006/relationships" name="boundary_property" sheetId="6" r:id="R5f2438173c294176"/>
    <x:sheet xmlns:r="http://schemas.openxmlformats.org/officeDocument/2006/relationships" name="nuisance" sheetId="7" r:id="R51a82130dc35484e"/>
    <x:sheet xmlns:r="http://schemas.openxmlformats.org/officeDocument/2006/relationships" name="physical_injury" sheetId="8" r:id="Rc475a733064b47d0"/>
    <x:sheet xmlns:r="http://schemas.openxmlformats.org/officeDocument/2006/relationships" name="threats" sheetId="9" r:id="Rc53ac595c44f4d06"/>
    <x:sheet xmlns:r="http://schemas.openxmlformats.org/officeDocument/2006/relationships" name="VAWC_child_abuse" sheetId="10" r:id="R8090d47ec65247a1"/>
    <x:sheet xmlns:r="http://schemas.openxmlformats.org/officeDocument/2006/relationships" name="outside_KP" sheetId="11" r:id="Ra8ba6f70a32d4840"/>
    <x:sheet xmlns:r="http://schemas.openxmlformats.org/officeDocument/2006/relationships" name="government_party" sheetId="12" r:id="R08b9665c26914785"/>
    <x:sheet xmlns:r="http://schemas.openxmlformats.org/officeDocument/2006/relationships" name="filed_in_court" sheetId="13" r:id="Rab8fee34123d4a35"/>
    <x:sheet xmlns:r="http://schemas.openxmlformats.org/officeDocument/2006/relationships" name="penalty_over_1yr" sheetId="14" r:id="Rd0e6ebd415984f71"/>
    <x:sheet xmlns:r="http://schemas.openxmlformats.org/officeDocument/2006/relationships" name="fine_over_5000" sheetId="15" r:id="R6559d88dca4d4d2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3">
    <x:font>
      <x:sz val="11"/>
      <x:name val="Carlito"/>
    </x:font>
    <x:font>
      <x:b/>
      <x:sz val="11"/>
      <x:color rgb="FFFFFF"/>
      <x:name val="Carlito"/>
    </x:font>
    <x:font>
      <x:b/>
      <x:sz val="16"/>
      <x:color rgb="FFFFFF"/>
      <x:name val="Carlito"/>
    </x:font>
  </x:fonts>
  <x:fills count="3">
    <x:fill>
      <x:patternFill patternType="none"/>
    </x:fill>
    <x:fill>
      <x:patternFill patternType="gray125"/>
    </x:fill>
    <x:fill>
      <x:patternFill patternType="solid">
        <x:fgColor rgb="1F4E78"/>
      </x:patternFill>
    </x:fill>
  </x:fills>
  <x:borders count="2">
    <x:border/>
    <x:border/>
  </x:borders>
  <x:cellStyleXfs count="1">
    <x:xf numFmtId="0" fontId="0" fillId="0" borderId="0"/>
  </x:cellStyleXfs>
  <x:cellXfs count="3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1" xfId="0" applyNumberFormat="1" applyFont="1" applyFill="1" applyBorder="1"/>
    <x:xf numFmtId="0" fontId="2" fillId="2" borderId="1" xfId="0" applyNumberFormat="1" applyFont="1" applyFill="1" applyBorder="1" applyAlignment="1">
      <x:alignment horizontal="center"/>
    </x:xf>
    <x:xf numFmtId="200" fontId="0" fillId="0" borderId="0" xfId="0" applyNumberFormat="1" applyFont="1" applyFill="1" applyBorder="1"/>
    <x:xf numFmtId="200" fontId="0" fillId="0" borderId="1" xfId="0" applyNumberFormat="1" applyFont="1" applyFill="1" applyBorder="1"/>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2" fillId="2" borderId="0" xfId="0" applyNumberFormat="1" applyFont="1" applyFill="1" applyBorder="1" applyAlignment="1">
      <x:alignment horizontal="center" vertical="top"/>
    </x:xf>
    <x:xf numFmtId="0" fontId="0" fillId="0" borderId="0" xfId="0" applyNumberFormat="1" applyFont="1" applyFill="1" applyBorder="1" applyAlignment="1">
      <x:alignment vertical="top"/>
    </x:xf>
    <x:xf numFmtId="0" fontId="1" fillId="2" borderId="0" xfId="0" applyNumberFormat="1" applyFont="1" applyFill="1" applyBorder="1" applyAlignment="1">
      <x:alignment horizontal="center" vertical="top" wrapText="1"/>
    </x:xf>
    <x:xf numFmtId="200" fontId="0" fillId="0" borderId="0" xfId="0" applyNumberFormat="1" applyFont="1" applyFill="1" applyBorder="1" applyAlignment="1">
      <x:alignment vertical="top"/>
    </x:xf>
    <x:xf numFmtId="200" fontId="0" fillId="0" borderId="0" xfId="0" applyNumberFormat="1" applyFont="1" applyFill="1" applyBorder="1" applyAlignment="1">
      <x:alignment vertical="top" wrapText="1"/>
    </x:xf>
    <x:xf numFmtId="0" fontId="2" fillId="2" borderId="1" xfId="0" applyNumberFormat="1" applyFont="1" applyFill="1" applyBorder="1" applyAlignment="1">
      <x:alignment horizontal="center" vertical="top"/>
    </x:xf>
    <x:xf numFmtId="0" fontId="0" fillId="0" borderId="1" xfId="0" applyNumberFormat="1" applyFont="1" applyFill="1" applyBorder="1" applyAlignment="1">
      <x:alignment vertical="top"/>
    </x:xf>
    <x:xf numFmtId="0" fontId="1" fillId="2" borderId="1" xfId="0" applyNumberFormat="1" applyFont="1" applyFill="1" applyBorder="1" applyAlignment="1">
      <x:alignment horizontal="center" vertical="top" wrapText="1"/>
    </x:xf>
    <x:xf numFmtId="200" fontId="0" fillId="0" borderId="1" xfId="0" applyNumberFormat="1" applyFont="1" applyFill="1" applyBorder="1" applyAlignment="1">
      <x:alignment vertical="top"/>
    </x:xf>
    <x:xf numFmtId="200" fontId="0" fillId="0" borderId="1" xfId="0" applyNumberFormat="1" applyFont="1" applyFill="1" applyBorder="1" applyAlignment="1">
      <x:alignment vertical="top" wrapText="1"/>
    </x:xf>
  </x:cellXfs>
  <x:cellStyles count="1">
    <x:cellStyle name="Normal" xfId="0"/>
  </x:cellStyles>
  <x:dxfs count="2">
    <x:dxf>
      <x:fill>
        <x:patternFill patternType="solid">
          <x:bgColor rgb="FFF2CC"/>
        </x:patternFill>
      </x:fill>
    </x:dxf>
    <x:dxf>
      <x:fill>
        <x:patternFill patternType="solid">
          <x:bgColor rgb="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803a4363edd4552" /><Relationship Type="http://schemas.openxmlformats.org/officeDocument/2006/relationships/theme" Target="/xl/theme/theme1.xml" Id="R65b2feeb68fa4090" /><Relationship Type="http://schemas.openxmlformats.org/officeDocument/2006/relationships/sharedStrings" Target="/xl/sharedStrings.xml" Id="Rc8d26c36ee88401f" /><Relationship Type="http://schemas.openxmlformats.org/officeDocument/2006/relationships/worksheet" Target="/xl/worksheets/sheet1.xml" Id="Ra1ba944258004f72" /><Relationship Type="http://schemas.openxmlformats.org/officeDocument/2006/relationships/worksheet" Target="/xl/worksheets/sheet2.xml" Id="Rbe05f6a9571246aa" /><Relationship Type="http://schemas.openxmlformats.org/officeDocument/2006/relationships/worksheet" Target="/xl/worksheets/sheet3.xml" Id="Rcdf7259bfb7440a0" /><Relationship Type="http://schemas.openxmlformats.org/officeDocument/2006/relationships/worksheet" Target="/xl/worksheets/sheet4.xml" Id="Rf439dec9aeb448c9" /><Relationship Type="http://schemas.openxmlformats.org/officeDocument/2006/relationships/worksheet" Target="/xl/worksheets/sheet5.xml" Id="R74366e9c6ae74fe1" /><Relationship Type="http://schemas.openxmlformats.org/officeDocument/2006/relationships/worksheet" Target="/xl/worksheets/sheet6.xml" Id="R5f2438173c294176" /><Relationship Type="http://schemas.openxmlformats.org/officeDocument/2006/relationships/worksheet" Target="/xl/worksheets/sheet7.xml" Id="R51a82130dc35484e" /><Relationship Type="http://schemas.openxmlformats.org/officeDocument/2006/relationships/worksheet" Target="/xl/worksheets/sheet8.xml" Id="Rc475a733064b47d0" /><Relationship Type="http://schemas.openxmlformats.org/officeDocument/2006/relationships/worksheet" Target="/xl/worksheets/sheet9.xml" Id="Rc53ac595c44f4d06" /><Relationship Type="http://schemas.openxmlformats.org/officeDocument/2006/relationships/worksheet" Target="/xl/worksheets/sheet10.xml" Id="R8090d47ec65247a1" /><Relationship Type="http://schemas.openxmlformats.org/officeDocument/2006/relationships/worksheet" Target="/xl/worksheets/sheet11.xml" Id="Ra8ba6f70a32d4840" /><Relationship Type="http://schemas.openxmlformats.org/officeDocument/2006/relationships/worksheet" Target="/xl/worksheets/sheet12.xml" Id="R08b9665c26914785" /><Relationship Type="http://schemas.openxmlformats.org/officeDocument/2006/relationships/worksheet" Target="/xl/worksheets/sheet13.xml" Id="Rab8fee34123d4a35" /><Relationship Type="http://schemas.openxmlformats.org/officeDocument/2006/relationships/worksheet" Target="/xl/worksheets/sheet14.xml" Id="Rd0e6ebd415984f71" /><Relationship Type="http://schemas.openxmlformats.org/officeDocument/2006/relationships/worksheet" Target="/xl/worksheets/sheet15.xml" Id="R6559d88dca4d4d27" /></Relationships>
</file>

<file path=xl/tables/table1.xml><?xml version="1.0" encoding="utf-8"?>
<x:table xmlns:x="http://schemas.openxmlformats.org/spreadsheetml/2006/main" id="1" name="BalancedExamples" displayName="BalancedExamples" ref="A1:R540" headerRowCount="1">
  <x:tableColumns count="18">
    <x:tableColumn id="1" name="case_id"/>
    <x:tableColumn id="2" name="case_type"/>
    <x:tableColumn id="3" name="source_type"/>
    <x:tableColumn id="4" name="source_pdf_case_id"/>
    <x:tableColumn id="5" name="original_dispute_category"/>
    <x:tableColumn id="6" name="original_nature"/>
    <x:tableColumn id="7" name="date_filed"/>
    <x:tableColumn id="8" name="date_of_settlement_or_award"/>
    <x:tableColumn id="9" name="conversation_status"/>
    <x:tableColumn id="10" name="action_taken"/>
    <x:tableColumn id="11" name="justice_kp_label"/>
    <x:tableColumn id="12" name="kp_eligibility"/>
    <x:tableColumn id="13" name="recommended_system_action"/>
    <x:tableColumn id="14" name="label_reason"/>
    <x:tableColumn id="15" name="amount_or_penalty_reference"/>
    <x:tableColumn id="16" name="evidence_of_type"/>
    <x:tableColumn id="17" name="synthetic_generation_note"/>
    <x:tableColumn id="18" name="source_file"/>
  </x:tableColumns>
  <x:tableStyleInfo name="TableStyleMedium2" showRowStripes="1"/>
</x:table>
</file>

<file path=xl/tables/table2.xml><?xml version="1.0" encoding="utf-8"?>
<x:table xmlns:x="http://schemas.openxmlformats.org/spreadsheetml/2006/main" id="2" name="ParsedPDFCases" displayName="ParsedPDFCases" ref="A1:R115" headerRowCount="1">
  <x:tableColumns count="18">
    <x:tableColumn id="1" name="case_id"/>
    <x:tableColumn id="2" name="case_type"/>
    <x:tableColumn id="3" name="source_type"/>
    <x:tableColumn id="4" name="source_pdf_case_id"/>
    <x:tableColumn id="5" name="original_dispute_category"/>
    <x:tableColumn id="6" name="original_nature"/>
    <x:tableColumn id="7" name="date_filed"/>
    <x:tableColumn id="8" name="date_of_settlement_or_award"/>
    <x:tableColumn id="9" name="conversation_status"/>
    <x:tableColumn id="10" name="action_taken"/>
    <x:tableColumn id="11" name="justice_kp_label"/>
    <x:tableColumn id="12" name="kp_eligibility"/>
    <x:tableColumn id="13" name="recommended_system_action"/>
    <x:tableColumn id="14" name="label_reason"/>
    <x:tableColumn id="15" name="amount_or_penalty_reference"/>
    <x:tableColumn id="16" name="evidence_of_type"/>
    <x:tableColumn id="17" name="synthetic_generation_note"/>
    <x:tableColumn id="18" name="source_file"/>
  </x:tableColumns>
  <x:tableStyleInfo name="TableStyleMedium2" showRowStripes="1"/>
</x:table>
</file>

<file path=xl/tables/table3.xml><?xml version="1.0" encoding="utf-8"?>
<x:table xmlns:x="http://schemas.openxmlformats.org/spreadsheetml/2006/main" id="3" name="T_DEBT" displayName="T_DEBT" ref="A1:R50" headerRowCount="1">
  <x:tableColumns count="18">
    <x:tableColumn id="1" name="case_id"/>
    <x:tableColumn id="2" name="case_type"/>
    <x:tableColumn id="3" name="source_type"/>
    <x:tableColumn id="4" name="source_pdf_case_id"/>
    <x:tableColumn id="5" name="original_dispute_category"/>
    <x:tableColumn id="6" name="original_nature"/>
    <x:tableColumn id="7" name="date_filed"/>
    <x:tableColumn id="8" name="date_of_settlement_or_award"/>
    <x:tableColumn id="9" name="conversation_status"/>
    <x:tableColumn id="10" name="action_taken"/>
    <x:tableColumn id="11" name="justice_kp_label"/>
    <x:tableColumn id="12" name="kp_eligibility"/>
    <x:tableColumn id="13" name="recommended_system_action"/>
    <x:tableColumn id="14" name="label_reason"/>
    <x:tableColumn id="15" name="amount_or_penalty_reference"/>
    <x:tableColumn id="16" name="evidence_of_type"/>
    <x:tableColumn id="17" name="synthetic_generation_note"/>
    <x:tableColumn id="18" name="source_file"/>
  </x:tableColumns>
  <x:tableStyleInfo name="TableStyleMedium2" showRowStripes="1"/>
</x:table>
</file>

<file path=xl/tables/table4.xml><?xml version="1.0" encoding="utf-8"?>
<x:table xmlns:x="http://schemas.openxmlformats.org/spreadsheetml/2006/main" id="4" name="T_PROP" displayName="T_PROP" ref="A1:R50" headerRowCount="1">
  <x:tableColumns count="18">
    <x:tableColumn id="1" name="case_id"/>
    <x:tableColumn id="2" name="case_type"/>
    <x:tableColumn id="3" name="source_type"/>
    <x:tableColumn id="4" name="source_pdf_case_id"/>
    <x:tableColumn id="5" name="original_dispute_category"/>
    <x:tableColumn id="6" name="original_nature"/>
    <x:tableColumn id="7" name="date_filed"/>
    <x:tableColumn id="8" name="date_of_settlement_or_award"/>
    <x:tableColumn id="9" name="conversation_status"/>
    <x:tableColumn id="10" name="action_taken"/>
    <x:tableColumn id="11" name="justice_kp_label"/>
    <x:tableColumn id="12" name="kp_eligibility"/>
    <x:tableColumn id="13" name="recommended_system_action"/>
    <x:tableColumn id="14" name="label_reason"/>
    <x:tableColumn id="15" name="amount_or_penalty_reference"/>
    <x:tableColumn id="16" name="evidence_of_type"/>
    <x:tableColumn id="17" name="synthetic_generation_note"/>
    <x:tableColumn id="18" name="source_file"/>
  </x:tableColumns>
  <x:tableStyleInfo name="TableStyleMedium2" showRowStripes="1"/>
</x:table>
</file>

<file path=xl/tables/table5.xml><?xml version="1.0" encoding="utf-8"?>
<x:table xmlns:x="http://schemas.openxmlformats.org/spreadsheetml/2006/main" id="5" name="T_NUIS" displayName="T_NUIS" ref="A1:R50" headerRowCount="1">
  <x:tableColumns count="18">
    <x:tableColumn id="1" name="case_id"/>
    <x:tableColumn id="2" name="case_type"/>
    <x:tableColumn id="3" name="source_type"/>
    <x:tableColumn id="4" name="source_pdf_case_id"/>
    <x:tableColumn id="5" name="original_dispute_category"/>
    <x:tableColumn id="6" name="original_nature"/>
    <x:tableColumn id="7" name="date_filed"/>
    <x:tableColumn id="8" name="date_of_settlement_or_award"/>
    <x:tableColumn id="9" name="conversation_status"/>
    <x:tableColumn id="10" name="action_taken"/>
    <x:tableColumn id="11" name="justice_kp_label"/>
    <x:tableColumn id="12" name="kp_eligibility"/>
    <x:tableColumn id="13" name="recommended_system_action"/>
    <x:tableColumn id="14" name="label_reason"/>
    <x:tableColumn id="15" name="amount_or_penalty_reference"/>
    <x:tableColumn id="16" name="evidence_of_type"/>
    <x:tableColumn id="17" name="synthetic_generation_note"/>
    <x:tableColumn id="18" name="source_file"/>
  </x:tableColumns>
  <x:tableStyleInfo name="TableStyleMedium2" showRowStripes="1"/>
</x:table>
</file>

<file path=xl/tables/table6.xml><?xml version="1.0" encoding="utf-8"?>
<x:table xmlns:x="http://schemas.openxmlformats.org/spreadsheetml/2006/main" id="6" name="T_INJ" displayName="T_INJ" ref="A1:R50" headerRowCount="1">
  <x:tableColumns count="18">
    <x:tableColumn id="1" name="case_id"/>
    <x:tableColumn id="2" name="case_type"/>
    <x:tableColumn id="3" name="source_type"/>
    <x:tableColumn id="4" name="source_pdf_case_id"/>
    <x:tableColumn id="5" name="original_dispute_category"/>
    <x:tableColumn id="6" name="original_nature"/>
    <x:tableColumn id="7" name="date_filed"/>
    <x:tableColumn id="8" name="date_of_settlement_or_award"/>
    <x:tableColumn id="9" name="conversation_status"/>
    <x:tableColumn id="10" name="action_taken"/>
    <x:tableColumn id="11" name="justice_kp_label"/>
    <x:tableColumn id="12" name="kp_eligibility"/>
    <x:tableColumn id="13" name="recommended_system_action"/>
    <x:tableColumn id="14" name="label_reason"/>
    <x:tableColumn id="15" name="amount_or_penalty_reference"/>
    <x:tableColumn id="16" name="evidence_of_type"/>
    <x:tableColumn id="17" name="synthetic_generation_note"/>
    <x:tableColumn id="18" name="source_file"/>
  </x:tableColumns>
  <x:tableStyleInfo name="TableStyleMedium2" showRowStripes="1"/>
</x:table>
</file>

<file path=xl/tables/table7.xml><?xml version="1.0" encoding="utf-8"?>
<x:table xmlns:x="http://schemas.openxmlformats.org/spreadsheetml/2006/main" id="7" name="T_THRT" displayName="T_THRT" ref="A1:R50" headerRowCount="1">
  <x:tableColumns count="18">
    <x:tableColumn id="1" name="case_id"/>
    <x:tableColumn id="2" name="case_type"/>
    <x:tableColumn id="3" name="source_type"/>
    <x:tableColumn id="4" name="source_pdf_case_id"/>
    <x:tableColumn id="5" name="original_dispute_category"/>
    <x:tableColumn id="6" name="original_nature"/>
    <x:tableColumn id="7" name="date_filed"/>
    <x:tableColumn id="8" name="date_of_settlement_or_award"/>
    <x:tableColumn id="9" name="conversation_status"/>
    <x:tableColumn id="10" name="action_taken"/>
    <x:tableColumn id="11" name="justice_kp_label"/>
    <x:tableColumn id="12" name="kp_eligibility"/>
    <x:tableColumn id="13" name="recommended_system_action"/>
    <x:tableColumn id="14" name="label_reason"/>
    <x:tableColumn id="15" name="amount_or_penalty_reference"/>
    <x:tableColumn id="16" name="evidence_of_type"/>
    <x:tableColumn id="17" name="synthetic_generation_note"/>
    <x:tableColumn id="18" name="source_file"/>
  </x:tableColumns>
  <x:tableStyleInfo name="TableStyleMedium2" showRowStripes="1"/>
</x:table>
</file>

<file path=xl/tables/table8.xml><?xml version="1.0" encoding="utf-8"?>
<x:table xmlns:x="http://schemas.openxmlformats.org/spreadsheetml/2006/main" id="8" name="T_VACC" displayName="T_VACC" ref="A1:R50" headerRowCount="1">
  <x:tableColumns count="18">
    <x:tableColumn id="1" name="case_id"/>
    <x:tableColumn id="2" name="case_type"/>
    <x:tableColumn id="3" name="source_type"/>
    <x:tableColumn id="4" name="source_pdf_case_id"/>
    <x:tableColumn id="5" name="original_dispute_category"/>
    <x:tableColumn id="6" name="original_nature"/>
    <x:tableColumn id="7" name="date_filed"/>
    <x:tableColumn id="8" name="date_of_settlement_or_award"/>
    <x:tableColumn id="9" name="conversation_status"/>
    <x:tableColumn id="10" name="action_taken"/>
    <x:tableColumn id="11" name="justice_kp_label"/>
    <x:tableColumn id="12" name="kp_eligibility"/>
    <x:tableColumn id="13" name="recommended_system_action"/>
    <x:tableColumn id="14" name="label_reason"/>
    <x:tableColumn id="15" name="amount_or_penalty_reference"/>
    <x:tableColumn id="16" name="evidence_of_type"/>
    <x:tableColumn id="17" name="synthetic_generation_note"/>
    <x:tableColumn id="18" name="source_file"/>
  </x:tableColumns>
  <x:tableStyleInfo name="TableStyleMedium2" showRowStripes="1"/>
</x:table>
</file>

<file path=xl/tables/table9.xml><?xml version="1.0" encoding="utf-8"?>
<x:table xmlns:x="http://schemas.openxmlformats.org/spreadsheetml/2006/main" id="9" name="T_OUT" displayName="T_OUT" ref="A1:R50" headerRowCount="1">
  <x:tableColumns count="18">
    <x:tableColumn id="1" name="case_id"/>
    <x:tableColumn id="2" name="case_type"/>
    <x:tableColumn id="3" name="source_type"/>
    <x:tableColumn id="4" name="source_pdf_case_id"/>
    <x:tableColumn id="5" name="original_dispute_category"/>
    <x:tableColumn id="6" name="original_nature"/>
    <x:tableColumn id="7" name="date_filed"/>
    <x:tableColumn id="8" name="date_of_settlement_or_award"/>
    <x:tableColumn id="9" name="conversation_status"/>
    <x:tableColumn id="10" name="action_taken"/>
    <x:tableColumn id="11" name="justice_kp_label"/>
    <x:tableColumn id="12" name="kp_eligibility"/>
    <x:tableColumn id="13" name="recommended_system_action"/>
    <x:tableColumn id="14" name="label_reason"/>
    <x:tableColumn id="15" name="amount_or_penalty_reference"/>
    <x:tableColumn id="16" name="evidence_of_type"/>
    <x:tableColumn id="17" name="synthetic_generation_note"/>
    <x:tableColumn id="18" name="source_file"/>
  </x:tableColumns>
  <x:tableStyleInfo name="TableStyleMedium2" showRowStripes="1"/>
</x:table>
</file>

<file path=xl/tables/table10.xml><?xml version="1.0" encoding="utf-8"?>
<x:table xmlns:x="http://schemas.openxmlformats.org/spreadsheetml/2006/main" id="10" name="T_GOV" displayName="T_GOV" ref="A1:R50" headerRowCount="1">
  <x:tableColumns count="18">
    <x:tableColumn id="1" name="case_id"/>
    <x:tableColumn id="2" name="case_type"/>
    <x:tableColumn id="3" name="source_type"/>
    <x:tableColumn id="4" name="source_pdf_case_id"/>
    <x:tableColumn id="5" name="original_dispute_category"/>
    <x:tableColumn id="6" name="original_nature"/>
    <x:tableColumn id="7" name="date_filed"/>
    <x:tableColumn id="8" name="date_of_settlement_or_award"/>
    <x:tableColumn id="9" name="conversation_status"/>
    <x:tableColumn id="10" name="action_taken"/>
    <x:tableColumn id="11" name="justice_kp_label"/>
    <x:tableColumn id="12" name="kp_eligibility"/>
    <x:tableColumn id="13" name="recommended_system_action"/>
    <x:tableColumn id="14" name="label_reason"/>
    <x:tableColumn id="15" name="amount_or_penalty_reference"/>
    <x:tableColumn id="16" name="evidence_of_type"/>
    <x:tableColumn id="17" name="synthetic_generation_note"/>
    <x:tableColumn id="18" name="source_file"/>
  </x:tableColumns>
  <x:tableStyleInfo name="TableStyleMedium2" showRowStripes="1"/>
</x:table>
</file>

<file path=xl/tables/table11.xml><?xml version="1.0" encoding="utf-8"?>
<x:table xmlns:x="http://schemas.openxmlformats.org/spreadsheetml/2006/main" id="11" name="T_COURT" displayName="T_COURT" ref="A1:R50" headerRowCount="1">
  <x:tableColumns count="18">
    <x:tableColumn id="1" name="case_id"/>
    <x:tableColumn id="2" name="case_type"/>
    <x:tableColumn id="3" name="source_type"/>
    <x:tableColumn id="4" name="source_pdf_case_id"/>
    <x:tableColumn id="5" name="original_dispute_category"/>
    <x:tableColumn id="6" name="original_nature"/>
    <x:tableColumn id="7" name="date_filed"/>
    <x:tableColumn id="8" name="date_of_settlement_or_award"/>
    <x:tableColumn id="9" name="conversation_status"/>
    <x:tableColumn id="10" name="action_taken"/>
    <x:tableColumn id="11" name="justice_kp_label"/>
    <x:tableColumn id="12" name="kp_eligibility"/>
    <x:tableColumn id="13" name="recommended_system_action"/>
    <x:tableColumn id="14" name="label_reason"/>
    <x:tableColumn id="15" name="amount_or_penalty_reference"/>
    <x:tableColumn id="16" name="evidence_of_type"/>
    <x:tableColumn id="17" name="synthetic_generation_note"/>
    <x:tableColumn id="18" name="source_file"/>
  </x:tableColumns>
  <x:tableStyleInfo name="TableStyleMedium2" showRowStripes="1"/>
</x:table>
</file>

<file path=xl/tables/table12.xml><?xml version="1.0" encoding="utf-8"?>
<x:table xmlns:x="http://schemas.openxmlformats.org/spreadsheetml/2006/main" id="12" name="T_PEN1Y" displayName="T_PEN1Y" ref="A1:R50" headerRowCount="1">
  <x:tableColumns count="18">
    <x:tableColumn id="1" name="case_id"/>
    <x:tableColumn id="2" name="case_type"/>
    <x:tableColumn id="3" name="source_type"/>
    <x:tableColumn id="4" name="source_pdf_case_id"/>
    <x:tableColumn id="5" name="original_dispute_category"/>
    <x:tableColumn id="6" name="original_nature"/>
    <x:tableColumn id="7" name="date_filed"/>
    <x:tableColumn id="8" name="date_of_settlement_or_award"/>
    <x:tableColumn id="9" name="conversation_status"/>
    <x:tableColumn id="10" name="action_taken"/>
    <x:tableColumn id="11" name="justice_kp_label"/>
    <x:tableColumn id="12" name="kp_eligibility"/>
    <x:tableColumn id="13" name="recommended_system_action"/>
    <x:tableColumn id="14" name="label_reason"/>
    <x:tableColumn id="15" name="amount_or_penalty_reference"/>
    <x:tableColumn id="16" name="evidence_of_type"/>
    <x:tableColumn id="17" name="synthetic_generation_note"/>
    <x:tableColumn id="18" name="source_file"/>
  </x:tableColumns>
  <x:tableStyleInfo name="TableStyleMedium2" showRowStripes="1"/>
</x:table>
</file>

<file path=xl/tables/table13.xml><?xml version="1.0" encoding="utf-8"?>
<x:table xmlns:x="http://schemas.openxmlformats.org/spreadsheetml/2006/main" id="13" name="T_FINE5K" displayName="T_FINE5K" ref="A1:R50" headerRowCount="1">
  <x:tableColumns count="18">
    <x:tableColumn id="1" name="case_id"/>
    <x:tableColumn id="2" name="case_type"/>
    <x:tableColumn id="3" name="source_type"/>
    <x:tableColumn id="4" name="source_pdf_case_id"/>
    <x:tableColumn id="5" name="original_dispute_category"/>
    <x:tableColumn id="6" name="original_nature"/>
    <x:tableColumn id="7" name="date_filed"/>
    <x:tableColumn id="8" name="date_of_settlement_or_award"/>
    <x:tableColumn id="9" name="conversation_status"/>
    <x:tableColumn id="10" name="action_taken"/>
    <x:tableColumn id="11" name="justice_kp_label"/>
    <x:tableColumn id="12" name="kp_eligibility"/>
    <x:tableColumn id="13" name="recommended_system_action"/>
    <x:tableColumn id="14" name="label_reason"/>
    <x:tableColumn id="15" name="amount_or_penalty_reference"/>
    <x:tableColumn id="16" name="evidence_of_type"/>
    <x:tableColumn id="17" name="synthetic_generation_note"/>
    <x:tableColumn id="18" name="source_fil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7b53e7ffe6e4e6d" /></Relationships>
</file>

<file path=xl/worksheets/_rels/sheet3.xml.rels>&#65279;<?xml version="1.0" encoding="utf-8"?><Relationships xmlns="http://schemas.openxmlformats.org/package/2006/relationships"><Relationship Type="http://schemas.openxmlformats.org/officeDocument/2006/relationships/table" Target="/xl/tables/table2.xml" Id="Rf997d2d51cd0405d" /></Relationships>
</file>

<file path=xl/worksheets/_rels/sheet5.xml.rels>&#65279;<?xml version="1.0" encoding="utf-8"?><Relationships xmlns="http://schemas.openxmlformats.org/package/2006/relationships"><Relationship Type="http://schemas.openxmlformats.org/officeDocument/2006/relationships/table" Target="/xl/tables/table3.xml" Id="R09de7994631e4599" /></Relationships>
</file>

<file path=xl/worksheets/_rels/sheet6.xml.rels>&#65279;<?xml version="1.0" encoding="utf-8"?><Relationships xmlns="http://schemas.openxmlformats.org/package/2006/relationships"><Relationship Type="http://schemas.openxmlformats.org/officeDocument/2006/relationships/table" Target="/xl/tables/table4.xml" Id="R7670596590114fb9" /></Relationships>
</file>

<file path=xl/worksheets/_rels/sheet7.xml.rels>&#65279;<?xml version="1.0" encoding="utf-8"?><Relationships xmlns="http://schemas.openxmlformats.org/package/2006/relationships"><Relationship Type="http://schemas.openxmlformats.org/officeDocument/2006/relationships/table" Target="/xl/tables/table5.xml" Id="R87975afda78149a6" /></Relationships>
</file>

<file path=xl/worksheets/_rels/sheet8.xml.rels>&#65279;<?xml version="1.0" encoding="utf-8"?><Relationships xmlns="http://schemas.openxmlformats.org/package/2006/relationships"><Relationship Type="http://schemas.openxmlformats.org/officeDocument/2006/relationships/table" Target="/xl/tables/table6.xml" Id="R7ba92f38b5d54e43" /></Relationships>
</file>

<file path=xl/worksheets/_rels/sheet9.xml.rels>&#65279;<?xml version="1.0" encoding="utf-8"?><Relationships xmlns="http://schemas.openxmlformats.org/package/2006/relationships"><Relationship Type="http://schemas.openxmlformats.org/officeDocument/2006/relationships/table" Target="/xl/tables/table7.xml" Id="Rd8978606818b465e" /></Relationships>
</file>

<file path=xl/worksheets/_rels/sheet10.xml.rels>&#65279;<?xml version="1.0" encoding="utf-8"?><Relationships xmlns="http://schemas.openxmlformats.org/package/2006/relationships"><Relationship Type="http://schemas.openxmlformats.org/officeDocument/2006/relationships/table" Target="/xl/tables/table8.xml" Id="Rbd64a3d88b3f4ba4" /></Relationships>
</file>

<file path=xl/worksheets/_rels/sheet11.xml.rels>&#65279;<?xml version="1.0" encoding="utf-8"?><Relationships xmlns="http://schemas.openxmlformats.org/package/2006/relationships"><Relationship Type="http://schemas.openxmlformats.org/officeDocument/2006/relationships/table" Target="/xl/tables/table9.xml" Id="R361a6955b3b7416b" /></Relationships>
</file>

<file path=xl/worksheets/_rels/sheet12.xml.rels>&#65279;<?xml version="1.0" encoding="utf-8"?><Relationships xmlns="http://schemas.openxmlformats.org/package/2006/relationships"><Relationship Type="http://schemas.openxmlformats.org/officeDocument/2006/relationships/table" Target="/xl/tables/table10.xml" Id="R6a954fc8b56e4316" /></Relationships>
</file>

<file path=xl/worksheets/_rels/sheet13.xml.rels>&#65279;<?xml version="1.0" encoding="utf-8"?><Relationships xmlns="http://schemas.openxmlformats.org/package/2006/relationships"><Relationship Type="http://schemas.openxmlformats.org/officeDocument/2006/relationships/table" Target="/xl/tables/table11.xml" Id="Rbcd3f81667a54f84" /></Relationships>
</file>

<file path=xl/worksheets/_rels/sheet14.xml.rels>&#65279;<?xml version="1.0" encoding="utf-8"?><Relationships xmlns="http://schemas.openxmlformats.org/package/2006/relationships"><Relationship Type="http://schemas.openxmlformats.org/officeDocument/2006/relationships/table" Target="/xl/tables/table12.xml" Id="Rc3056c6acdf84341" /></Relationships>
</file>

<file path=xl/worksheets/_rels/sheet15.xml.rels>&#65279;<?xml version="1.0" encoding="utf-8"?><Relationships xmlns="http://schemas.openxmlformats.org/package/2006/relationships"><Relationship Type="http://schemas.openxmlformats.org/officeDocument/2006/relationships/table" Target="/xl/tables/table13.xml" Id="R457ceb94b7794ecc" /></Relationships>
</file>

<file path=xl/worksheets/sheet1.xml><?xml version="1.0" encoding="utf-8"?>
<x:worksheet xmlns:x="http://schemas.openxmlformats.org/spreadsheetml/2006/main">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s>
  <x:sheetData>
    <x:row r="1">
      <x:c r="A1" s="24" t="str">
        <x:v>Justice KP Balanced Case Example Dataset</x:v>
      </x:c>
      <x:c r="B1" s="25" t="str"/>
      <x:c r="C1" s="25" t="str"/>
      <x:c r="D1" s="25" t="str"/>
      <x:c r="E1" s="25" t="str"/>
      <x:c r="F1" s="25" t="str"/>
    </x:row>
    <x:row r="2">
      <x:c r="A2" s="25" t="str">
        <x:v>Source PDF</x:v>
      </x:c>
      <x:c r="B2" s="25" t="str">
        <x:v>KP CASE PSWT - Sheet1 - KP CASE PSWT - Sheet1.pdf</x:v>
      </x:c>
      <x:c r="C2" s="25" t="str"/>
      <x:c r="D2" s="25" t="str"/>
      <x:c r="E2" s="25" t="str"/>
      <x:c r="F2" s="25" t="str"/>
    </x:row>
    <x:row r="3">
      <x:c r="A3" s="25" t="str">
        <x:v>Balancing rule</x:v>
      </x:c>
      <x:c r="B3" s="25" t="str">
        <x:v>Every requested type contains 49 examples. Real PDF rows are kept; synthetic rows fill gaps.</x:v>
      </x:c>
      <x:c r="C3" s="25" t="str"/>
      <x:c r="D3" s="25" t="str"/>
      <x:c r="E3" s="25" t="str"/>
      <x:c r="F3" s="25" t="str"/>
    </x:row>
    <x:row r="4">
      <x:c r="A4" s="25" t="str"/>
      <x:c r="B4" s="25" t="str"/>
      <x:c r="C4" s="25" t="str"/>
      <x:c r="D4" s="25" t="str"/>
      <x:c r="E4" s="25" t="str"/>
      <x:c r="F4" s="25" t="str"/>
    </x:row>
    <x:row r="5">
      <x:c r="A5" s="26" t="str">
        <x:v>Metric</x:v>
      </x:c>
      <x:c r="B5" s="26" t="str">
        <x:v>Value</x:v>
      </x:c>
      <x:c r="C5" s="26" t="str">
        <x:v>Formula/Note</x:v>
      </x:c>
      <x:c r="D5" s="25" t="str"/>
      <x:c r="E5" s="25" t="str"/>
      <x:c r="F5" s="25" t="str"/>
    </x:row>
    <x:row r="6">
      <x:c r="A6" s="25" t="str">
        <x:v>Total rows</x:v>
      </x:c>
      <x:c r="B6" s="25" t="n">
        <x:f>COUNTA(Balanced_Dataset!$A$2:$A$540)</x:f>
        <x:v>539</x:v>
      </x:c>
      <x:c r="C6" s="25" t="str">
        <x:v>Balanced_Dataset data rows</x:v>
      </x:c>
      <x:c r="D6" s="25" t="str"/>
      <x:c r="E6" s="25" t="str"/>
      <x:c r="F6" s="25" t="str"/>
    </x:row>
    <x:row r="7">
      <x:c r="A7" s="25" t="str">
        <x:v>Real PDF rows</x:v>
      </x:c>
      <x:c r="B7" s="25" t="n">
        <x:f>COUNTIF(Balanced_Dataset!$C$2:$C$540,"Real PDF")</x:f>
        <x:v>114</x:v>
      </x:c>
      <x:c r="C7" s="25" t="str">
        <x:v>Rows extracted and classified from PDF</x:v>
      </x:c>
      <x:c r="D7" s="25" t="str"/>
      <x:c r="E7" s="25" t="str"/>
      <x:c r="F7" s="25" t="str"/>
    </x:row>
    <x:row r="8">
      <x:c r="A8" s="25" t="str">
        <x:v>Synthetic rows</x:v>
      </x:c>
      <x:c r="B8" s="25" t="n">
        <x:f>COUNTIF(Balanced_Dataset!$C$2:$C$540,"Synthetic")</x:f>
        <x:v>425</x:v>
      </x:c>
      <x:c r="C8" s="25" t="str">
        <x:v>Rows added only to balance types</x:v>
      </x:c>
      <x:c r="D8" s="25" t="str"/>
      <x:c r="E8" s="25" t="str"/>
      <x:c r="F8" s="25" t="str"/>
    </x:row>
    <x:row r="9">
      <x:c r="A9" s="25" t="str">
        <x:v>Real data percentage</x:v>
      </x:c>
      <x:c r="B9" s="27" t="n">
        <x:f>B7/B6</x:f>
        <x:v>0.21150278293135436</x:v>
      </x:c>
      <x:c r="C9" s="25" t="str">
        <x:v>Real PDF rows / Total rows</x:v>
      </x:c>
      <x:c r="D9" s="25" t="str"/>
      <x:c r="E9" s="25" t="str"/>
      <x:c r="F9" s="25" t="str"/>
    </x:row>
    <x:row r="10">
      <x:c r="A10" s="25" t="str">
        <x:v>Synthetic data percentage</x:v>
      </x:c>
      <x:c r="B10" s="27" t="n">
        <x:f>B8/B6</x:f>
        <x:v>0.7884972170686456</x:v>
      </x:c>
      <x:c r="C10" s="25" t="str">
        <x:v>Synthetic rows / Total rows</x:v>
      </x:c>
      <x:c r="D10" s="25" t="str"/>
      <x:c r="E10" s="25" t="str"/>
      <x:c r="F10" s="25" t="str"/>
    </x:row>
    <x:row r="11">
      <x:c r="A11" s="25" t="str">
        <x:v>Target examples per type</x:v>
      </x:c>
      <x:c r="B11" s="25" t="n">
        <x:v>49</x:v>
      </x:c>
      <x:c r="C11" s="25" t="str">
        <x:v>Maximum real count among requested types</x:v>
      </x:c>
      <x:c r="D11" s="25" t="str"/>
      <x:c r="E11" s="25" t="str"/>
      <x:c r="F11" s="25" t="str"/>
    </x:row>
    <x:row r="12">
      <x:c r="A12" s="25" t="str"/>
      <x:c r="B12" s="25" t="str"/>
      <x:c r="C12" s="25" t="str"/>
      <x:c r="D12" s="25" t="str"/>
      <x:c r="E12" s="25" t="str"/>
      <x:c r="F12" s="25" t="str"/>
    </x:row>
    <x:row r="13">
      <x:c r="A13" s="26" t="str">
        <x:v>case_type</x:v>
      </x:c>
      <x:c r="B13" s="26" t="str">
        <x:v>real_pdf_count</x:v>
      </x:c>
      <x:c r="C13" s="26" t="str">
        <x:v>synthetic_count</x:v>
      </x:c>
      <x:c r="D13" s="26" t="str">
        <x:v>total_count</x:v>
      </x:c>
      <x:c r="E13" s="26" t="str">
        <x:v>real_%</x:v>
      </x:c>
      <x:c r="F13" s="26" t="str">
        <x:v>synthetic_%</x:v>
      </x:c>
    </x:row>
    <x:row r="14">
      <x:c r="A14" s="13" t="str">
        <x:v>debt</x:v>
      </x:c>
      <x:c r="B14" s="13" t="n">
        <x:f>COUNTIFS(Balanced_Dataset!$B$2:$B$540,A14,Balanced_Dataset!$C$2:$C$540,"Real PDF")</x:f>
        <x:v>49</x:v>
      </x:c>
      <x:c r="C14" s="13" t="n">
        <x:f>COUNTIFS(Balanced_Dataset!$B$2:$B$540,A14,Balanced_Dataset!$C$2:$C$540,"Synthetic")</x:f>
        <x:v>0</x:v>
      </x:c>
      <x:c r="D14" s="13" t="n">
        <x:f>B14+C14</x:f>
        <x:v>49</x:v>
      </x:c>
      <x:c r="E14" s="28" t="n">
        <x:f>B14/D14</x:f>
        <x:v>1</x:v>
      </x:c>
      <x:c r="F14" s="28" t="n">
        <x:f>C14/D14</x:f>
        <x:v>0</x:v>
      </x:c>
    </x:row>
    <x:row r="15">
      <x:c r="A15" s="13" t="str">
        <x:v>boundary/property</x:v>
      </x:c>
      <x:c r="B15" s="13" t="n">
        <x:f>COUNTIFS(Balanced_Dataset!$B$2:$B$540,A15,Balanced_Dataset!$C$2:$C$540,"Real PDF")</x:f>
        <x:v>11</x:v>
      </x:c>
      <x:c r="C15" s="13" t="n">
        <x:f>COUNTIFS(Balanced_Dataset!$B$2:$B$540,A15,Balanced_Dataset!$C$2:$C$540,"Synthetic")</x:f>
        <x:v>38</x:v>
      </x:c>
      <x:c r="D15" s="13" t="n">
        <x:f>B15+C15</x:f>
        <x:v>49</x:v>
      </x:c>
      <x:c r="E15" s="28" t="n">
        <x:f>B15/D15</x:f>
        <x:v>0.22448979591836735</x:v>
      </x:c>
      <x:c r="F15" s="28" t="n">
        <x:f>C15/D15</x:f>
        <x:v>0.7755102040816326</x:v>
      </x:c>
    </x:row>
    <x:row r="16">
      <x:c r="A16" s="13" t="str">
        <x:v>nuisance</x:v>
      </x:c>
      <x:c r="B16" s="13" t="n">
        <x:f>COUNTIFS(Balanced_Dataset!$B$2:$B$540,A16,Balanced_Dataset!$C$2:$C$540,"Real PDF")</x:f>
        <x:v>4</x:v>
      </x:c>
      <x:c r="C16" s="13" t="n">
        <x:f>COUNTIFS(Balanced_Dataset!$B$2:$B$540,A16,Balanced_Dataset!$C$2:$C$540,"Synthetic")</x:f>
        <x:v>45</x:v>
      </x:c>
      <x:c r="D16" s="13" t="n">
        <x:f>B16+C16</x:f>
        <x:v>49</x:v>
      </x:c>
      <x:c r="E16" s="28" t="n">
        <x:f>B16/D16</x:f>
        <x:v>0.08163265306122448</x:v>
      </x:c>
      <x:c r="F16" s="28" t="n">
        <x:f>C16/D16</x:f>
        <x:v>0.9183673469387755</x:v>
      </x:c>
    </x:row>
    <x:row r="17">
      <x:c r="A17" s="13" t="str">
        <x:v>physical injury</x:v>
      </x:c>
      <x:c r="B17" s="13" t="n">
        <x:f>COUNTIFS(Balanced_Dataset!$B$2:$B$540,A17,Balanced_Dataset!$C$2:$C$540,"Real PDF")</x:f>
        <x:v>15</x:v>
      </x:c>
      <x:c r="C17" s="13" t="n">
        <x:f>COUNTIFS(Balanced_Dataset!$B$2:$B$540,A17,Balanced_Dataset!$C$2:$C$540,"Synthetic")</x:f>
        <x:v>34</x:v>
      </x:c>
      <x:c r="D17" s="13" t="n">
        <x:f>B17+C17</x:f>
        <x:v>49</x:v>
      </x:c>
      <x:c r="E17" s="28" t="n">
        <x:f>B17/D17</x:f>
        <x:v>0.30612244897959184</x:v>
      </x:c>
      <x:c r="F17" s="28" t="n">
        <x:f>C17/D17</x:f>
        <x:v>0.6938775510204082</x:v>
      </x:c>
    </x:row>
    <x:row r="18">
      <x:c r="A18" s="13" t="str">
        <x:v>threats</x:v>
      </x:c>
      <x:c r="B18" s="13" t="n">
        <x:f>COUNTIFS(Balanced_Dataset!$B$2:$B$540,A18,Balanced_Dataset!$C$2:$C$540,"Real PDF")</x:f>
        <x:v>9</x:v>
      </x:c>
      <x:c r="C18" s="13" t="n">
        <x:f>COUNTIFS(Balanced_Dataset!$B$2:$B$540,A18,Balanced_Dataset!$C$2:$C$540,"Synthetic")</x:f>
        <x:v>40</x:v>
      </x:c>
      <x:c r="D18" s="13" t="n">
        <x:f>B18+C18</x:f>
        <x:v>49</x:v>
      </x:c>
      <x:c r="E18" s="28" t="n">
        <x:f>B18/D18</x:f>
        <x:v>0.1836734693877551</x:v>
      </x:c>
      <x:c r="F18" s="28" t="n">
        <x:f>C18/D18</x:f>
        <x:v>0.8163265306122449</x:v>
      </x:c>
    </x:row>
    <x:row r="19">
      <x:c r="A19" s="13" t="str">
        <x:v>VAWC/child abuse</x:v>
      </x:c>
      <x:c r="B19" s="13" t="n">
        <x:f>COUNTIFS(Balanced_Dataset!$B$2:$B$540,A19,Balanced_Dataset!$C$2:$C$540,"Real PDF")</x:f>
        <x:v>3</x:v>
      </x:c>
      <x:c r="C19" s="13" t="n">
        <x:f>COUNTIFS(Balanced_Dataset!$B$2:$B$540,A19,Balanced_Dataset!$C$2:$C$540,"Synthetic")</x:f>
        <x:v>46</x:v>
      </x:c>
      <x:c r="D19" s="13" t="n">
        <x:f>B19+C19</x:f>
        <x:v>49</x:v>
      </x:c>
      <x:c r="E19" s="28" t="n">
        <x:f>B19/D19</x:f>
        <x:v>0.061224489795918366</x:v>
      </x:c>
      <x:c r="F19" s="28" t="n">
        <x:f>C19/D19</x:f>
        <x:v>0.9387755102040817</x:v>
      </x:c>
    </x:row>
    <x:row r="20">
      <x:c r="A20" s="13" t="str">
        <x:v>outside-KP</x:v>
      </x:c>
      <x:c r="B20" s="13" t="n">
        <x:f>COUNTIFS(Balanced_Dataset!$B$2:$B$540,A20,Balanced_Dataset!$C$2:$C$540,"Real PDF")</x:f>
        <x:v>13</x:v>
      </x:c>
      <x:c r="C20" s="13" t="n">
        <x:f>COUNTIFS(Balanced_Dataset!$B$2:$B$540,A20,Balanced_Dataset!$C$2:$C$540,"Synthetic")</x:f>
        <x:v>36</x:v>
      </x:c>
      <x:c r="D20" s="13" t="n">
        <x:f>B20+C20</x:f>
        <x:v>49</x:v>
      </x:c>
      <x:c r="E20" s="28" t="n">
        <x:f>B20/D20</x:f>
        <x:v>0.2653061224489796</x:v>
      </x:c>
      <x:c r="F20" s="28" t="n">
        <x:f>C20/D20</x:f>
        <x:v>0.7346938775510204</x:v>
      </x:c>
    </x:row>
    <x:row r="21">
      <x:c r="A21" s="13" t="str">
        <x:v>government-party</x:v>
      </x:c>
      <x:c r="B21" s="13" t="n">
        <x:f>COUNTIFS(Balanced_Dataset!$B$2:$B$540,A21,Balanced_Dataset!$C$2:$C$540,"Real PDF")</x:f>
        <x:v>0</x:v>
      </x:c>
      <x:c r="C21" s="13" t="n">
        <x:f>COUNTIFS(Balanced_Dataset!$B$2:$B$540,A21,Balanced_Dataset!$C$2:$C$540,"Synthetic")</x:f>
        <x:v>49</x:v>
      </x:c>
      <x:c r="D21" s="13" t="n">
        <x:f>B21+C21</x:f>
        <x:v>49</x:v>
      </x:c>
      <x:c r="E21" s="28" t="n">
        <x:f>B21/D21</x:f>
        <x:v>0</x:v>
      </x:c>
      <x:c r="F21" s="28" t="n">
        <x:f>C21/D21</x:f>
        <x:v>1</x:v>
      </x:c>
    </x:row>
    <x:row r="22">
      <x:c r="A22" s="13" t="str">
        <x:v>already-filed-in-court</x:v>
      </x:c>
      <x:c r="B22" s="13" t="n">
        <x:f>COUNTIFS(Balanced_Dataset!$B$2:$B$540,A22,Balanced_Dataset!$C$2:$C$540,"Real PDF")</x:f>
        <x:v>0</x:v>
      </x:c>
      <x:c r="C22" s="13" t="n">
        <x:f>COUNTIFS(Balanced_Dataset!$B$2:$B$540,A22,Balanced_Dataset!$C$2:$C$540,"Synthetic")</x:f>
        <x:v>49</x:v>
      </x:c>
      <x:c r="D22" s="13" t="n">
        <x:f>B22+C22</x:f>
        <x:v>49</x:v>
      </x:c>
      <x:c r="E22" s="28" t="n">
        <x:f>B22/D22</x:f>
        <x:v>0</x:v>
      </x:c>
      <x:c r="F22" s="28" t="n">
        <x:f>C22/D22</x:f>
        <x:v>1</x:v>
      </x:c>
    </x:row>
    <x:row r="23">
      <x:c r="A23" s="13" t="str">
        <x:v>penalty-over-1-year</x:v>
      </x:c>
      <x:c r="B23" s="13" t="n">
        <x:f>COUNTIFS(Balanced_Dataset!$B$2:$B$540,A23,Balanced_Dataset!$C$2:$C$540,"Real PDF")</x:f>
        <x:v>10</x:v>
      </x:c>
      <x:c r="C23" s="13" t="n">
        <x:f>COUNTIFS(Balanced_Dataset!$B$2:$B$540,A23,Balanced_Dataset!$C$2:$C$540,"Synthetic")</x:f>
        <x:v>39</x:v>
      </x:c>
      <x:c r="D23" s="13" t="n">
        <x:f>B23+C23</x:f>
        <x:v>49</x:v>
      </x:c>
      <x:c r="E23" s="28" t="n">
        <x:f>B23/D23</x:f>
        <x:v>0.20408163265306123</x:v>
      </x:c>
      <x:c r="F23" s="28" t="n">
        <x:f>C23/D23</x:f>
        <x:v>0.7959183673469388</x:v>
      </x:c>
    </x:row>
    <x:row r="24">
      <x:c r="A24" s="13" t="str">
        <x:v>fine-over-5000</x:v>
      </x:c>
      <x:c r="B24" s="13" t="n">
        <x:f>COUNTIFS(Balanced_Dataset!$B$2:$B$540,A24,Balanced_Dataset!$C$2:$C$540,"Real PDF")</x:f>
        <x:v>0</x:v>
      </x:c>
      <x:c r="C24" s="13" t="n">
        <x:f>COUNTIFS(Balanced_Dataset!$B$2:$B$540,A24,Balanced_Dataset!$C$2:$C$540,"Synthetic")</x:f>
        <x:v>49</x:v>
      </x:c>
      <x:c r="D24" s="13" t="n">
        <x:f>B24+C24</x:f>
        <x:v>49</x:v>
      </x:c>
      <x:c r="E24" s="28" t="n">
        <x:f>B24/D24</x:f>
        <x:v>0</x:v>
      </x:c>
      <x:c r="F24" s="28" t="n">
        <x:f>C24/D24</x:f>
        <x:v>1</x:v>
      </x:c>
    </x:row>
    <x:row r="25">
      <x:c r="A25" s="25"/>
      <x:c r="B25" s="25"/>
      <x:c r="C25" s="25"/>
      <x:c r="D25" s="25"/>
      <x:c r="E25" s="25"/>
      <x:c r="F25" s="25"/>
    </x:row>
    <x:row r="26">
      <x:c r="A26" s="25"/>
      <x:c r="B26" s="25"/>
      <x:c r="C26" s="25"/>
      <x:c r="D26" s="25"/>
      <x:c r="E26" s="25"/>
      <x:c r="F26" s="25"/>
    </x:row>
    <x:row r="27">
      <x:c r="A27" s="25"/>
      <x:c r="B27" s="25"/>
      <x:c r="C27" s="25"/>
      <x:c r="D27" s="25"/>
      <x:c r="E27" s="25"/>
      <x:c r="F27" s="25"/>
    </x:row>
    <x:row r="28">
      <x:c r="A28" s="25"/>
      <x:c r="B28" s="25"/>
      <x:c r="C28" s="25"/>
      <x:c r="D28" s="25"/>
      <x:c r="E28" s="25"/>
      <x:c r="F28" s="25"/>
    </x:row>
    <x:row r="29">
      <x:c r="A29" s="13" t="str">
        <x:v>Source note</x:v>
      </x:c>
      <x:c r="B29" s="13" t="str">
        <x:v>Parsed from uploaded PDF file: KP CASE PSWT - Sheet1 - KP CASE PSWT - Sheet1.pdf.</x:v>
      </x:c>
      <x:c r="C29" s="25"/>
      <x:c r="D29" s="25"/>
      <x:c r="E29" s="25"/>
      <x:c r="F29" s="25"/>
    </x:row>
    <x:row r="30">
      <x:c r="A30" s="25"/>
      <x:c r="B30" s="25"/>
      <x:c r="C30" s="25"/>
      <x:c r="D30" s="25"/>
      <x:c r="E30" s="25"/>
      <x:c r="F30" s="25"/>
    </x:row>
  </x:sheetData>
  <x:mergeCells>
    <x:mergeCell ref="A1:F1"/>
  </x:mergeCells>
  <x:pageMargins left="0.7" right="0.7" top="0.75" bottom="0.75" header="0.3" footer="0.3"/>
</x:worksheet>
</file>

<file path=xl/worksheets/sheet2.xml><?xml version="1.0" encoding="utf-8"?>
<x:worksheet xmlns:x="http://schemas.openxmlformats.org/spreadsheetml/2006/main">
  <x:sheetFormatPr defaultRowHeight="15"/>
  <x:cols>
    <x:col min="1" max="1" width="18" hidden="0" customWidth="1"/>
    <x:col min="2" max="2" width="22" hidden="0" customWidth="1"/>
    <x:col min="3" max="3" width="13" hidden="0" customWidth="1"/>
    <x:col min="4" max="4" width="18" hidden="0" customWidth="1"/>
    <x:col min="5" max="5" width="18" hidden="0" customWidth="1"/>
    <x:col min="6" max="6" width="36" hidden="0" customWidth="1"/>
    <x:col min="7" max="7" width="17" hidden="0" customWidth="1"/>
    <x:col min="8" max="8" width="22" hidden="0" customWidth="1"/>
    <x:col min="9" max="9" width="52" hidden="0" customWidth="1"/>
    <x:col min="10" max="10" width="15" hidden="0" customWidth="1"/>
    <x:col min="11" max="11" width="24" hidden="0" customWidth="1"/>
    <x:col min="12" max="12" width="32" hidden="0" customWidth="1"/>
    <x:col min="13" max="13" width="42" hidden="0" customWidth="1"/>
    <x:col min="14" max="14" width="45" hidden="0" customWidth="1"/>
    <x:col min="15" max="15" width="20" hidden="0" customWidth="1"/>
    <x:col min="16" max="16" width="36" hidden="0" customWidth="1"/>
    <x:col min="17" max="17" width="48" hidden="0" customWidth="1"/>
    <x:col min="18" max="18" width="35" hidden="0" customWidth="1"/>
  </x:cols>
  <x:sheetData>
    <x:row r="1" ht="42" customHeight="1">
      <x:c r="A1" s="6" t="str">
        <x:v>case_id</x:v>
      </x:c>
      <x:c r="B1" s="6" t="str">
        <x:v>case_type</x:v>
      </x:c>
      <x:c r="C1" s="6" t="str">
        <x:v>source_type</x:v>
      </x:c>
      <x:c r="D1" s="6" t="str">
        <x:v>source_pdf_case_id</x:v>
      </x:c>
      <x:c r="E1" s="6" t="str">
        <x:v>original_dispute_category</x:v>
      </x:c>
      <x:c r="F1" s="6" t="str">
        <x:v>original_nature</x:v>
      </x:c>
      <x:c r="G1" s="6" t="str">
        <x:v>date_filed</x:v>
      </x:c>
      <x:c r="H1" s="6" t="str">
        <x:v>date_of_settlement_or_award</x:v>
      </x:c>
      <x:c r="I1" s="6" t="str">
        <x:v>conversation_status</x:v>
      </x:c>
      <x:c r="J1" s="6" t="str">
        <x:v>action_taken</x:v>
      </x:c>
      <x:c r="K1" s="6" t="str">
        <x:v>justice_kp_label</x:v>
      </x:c>
      <x:c r="L1" s="6" t="str">
        <x:v>kp_eligibility</x:v>
      </x:c>
      <x:c r="M1" s="6" t="str">
        <x:v>recommended_system_action</x:v>
      </x:c>
      <x:c r="N1" s="6" t="str">
        <x:v>label_reason</x:v>
      </x:c>
      <x:c r="O1" s="6" t="str">
        <x:v>amount_or_penalty_reference</x:v>
      </x:c>
      <x:c r="P1" s="6" t="str">
        <x:v>evidence_of_type</x:v>
      </x:c>
      <x:c r="Q1" s="6" t="str">
        <x:v>synthetic_generation_note</x:v>
      </x:c>
      <x:c r="R1" s="6" t="str">
        <x:v>source_file</x:v>
      </x:c>
    </x:row>
    <x:row r="2" ht="36" customHeight="1">
      <x:c r="A2" s="13" t="str">
        <x:v>KP-25-004-PSWT</x:v>
      </x:c>
      <x:c r="B2" s="13" t="str">
        <x:v>debt</x:v>
      </x:c>
      <x:c r="C2" s="13" t="str">
        <x:v>Real PDF</x:v>
      </x:c>
      <x:c r="D2" s="13" t="str">
        <x:v>KP-25-004-PSWT</x:v>
      </x:c>
      <x:c r="E2" s="13" t="str">
        <x:v>Civil</x:v>
      </x:c>
      <x:c r="F2" s="13" t="str">
        <x:v>Hindi pagbabayad ng utanf\g</x:v>
      </x:c>
      <x:c r="G2" s="13" t="str">
        <x:v>January 5, 2025</x:v>
      </x:c>
      <x:c r="H2" s="13" t="str">
        <x:v>January 16, 2025</x:v>
      </x:c>
      <x:c r="I2" s="13" t="str">
        <x:v>Nagkaroon ng pagkakasundo at nangako ang ipinagsumbong na magbabayad ng P8,000 sa February 2025</x:v>
      </x:c>
      <x:c r="J2" s="13" t="str">
        <x:v>Settled</x:v>
      </x:c>
      <x:c r="K2" s="13" t="str">
        <x:v>KP_COVERED_AMICABLE</x:v>
      </x:c>
      <x:c r="L2" s="13" t="str">
        <x:v>Eligible for KP screening</x:v>
      </x:c>
      <x:c r="M2" s="13" t="str">
        <x:v>Proceed to barangay conciliation / mediation screening</x:v>
      </x:c>
      <x:c r="N2" s="13" t="str">
        <x:v>Civil money/property return or small-contract dispute suitable for barangay conciliation if parties meet KP requirements.</x:v>
      </x:c>
      <x:c r="O2" s="13" t="str">
        <x:v>P8,000</x:v>
      </x:c>
      <x:c r="P2" s="13" t="str">
        <x:v>Hindi pagbabayad ng utanf\g</x:v>
      </x:c>
      <x:c r="Q2" s="13" t="str"/>
      <x:c r="R2" s="13" t="str">
        <x:v>KP CASE PSWT - Sheet1 - KP CASE PSWT - Sheet1.pdf</x:v>
      </x:c>
    </x:row>
    <x:row r="3" ht="36" customHeight="1">
      <x:c r="A3" s="13" t="str">
        <x:v>KP-25-007-PSWT</x:v>
      </x:c>
      <x:c r="B3" s="13" t="str">
        <x:v>debt</x:v>
      </x:c>
      <x:c r="C3" s="13" t="str">
        <x:v>Real PDF</x:v>
      </x:c>
      <x:c r="D3" s="13" t="str">
        <x:v>KP-25-007-PSWT</x:v>
      </x:c>
      <x:c r="E3" s="13" t="str">
        <x:v>Civil</x:v>
      </x:c>
      <x:c r="F3" s="13" t="str">
        <x:v>Paglilinaw sa utang na pera</x:v>
      </x:c>
      <x:c r="G3" s="13" t="str">
        <x:v>January 6, 2025</x:v>
      </x:c>
      <x:c r="H3" s="13" t="str">
        <x:v>-</x:v>
      </x:c>
      <x:c r="I3" s="13" t="str">
        <x:v>Walang pagkakasundo at advise ng Punong Barangay na ituloy at malaking halaga</x:v>
      </x:c>
      <x:c r="J3" s="13" t="str">
        <x:v>Dismiss</x:v>
      </x:c>
      <x:c r="K3" s="13" t="str">
        <x:v>KP_COVERED_AMICABLE</x:v>
      </x:c>
      <x:c r="L3" s="13" t="str">
        <x:v>Eligible for KP screening</x:v>
      </x:c>
      <x:c r="M3" s="13" t="str">
        <x:v>Proceed to barangay conciliation / mediation screening</x:v>
      </x:c>
      <x:c r="N3" s="13" t="str">
        <x:v>Civil money/property return or small-contract dispute suitable for barangay conciliation if parties meet KP requirements.</x:v>
      </x:c>
      <x:c r="O3" s="13" t="str"/>
      <x:c r="P3" s="13" t="str">
        <x:v>Paglilinaw sa utang na pera</x:v>
      </x:c>
      <x:c r="Q3" s="13" t="str"/>
      <x:c r="R3" s="13" t="str">
        <x:v>KP CASE PSWT - Sheet1 - KP CASE PSWT - Sheet1.pdf</x:v>
      </x:c>
    </x:row>
    <x:row r="4" ht="36" customHeight="1">
      <x:c r="A4" s="13" t="str">
        <x:v>KP-25-011-PSWT</x:v>
      </x:c>
      <x:c r="B4" s="13" t="str">
        <x:v>debt</x:v>
      </x:c>
      <x:c r="C4" s="13" t="str">
        <x:v>Real PDF</x:v>
      </x:c>
      <x:c r="D4" s="13" t="str">
        <x:v>KP-25-011-PSWT</x:v>
      </x:c>
      <x:c r="E4" s="13" t="str">
        <x:v>Civil</x:v>
      </x:c>
      <x:c r="F4" s="13" t="str">
        <x:v>Paglilinaw sa utang na pera</x:v>
      </x:c>
      <x:c r="G4" s="13" t="str">
        <x:v>January 13, 2025</x:v>
      </x:c>
      <x:c r="H4" s="13" t="str">
        <x:v>January 17, 2025</x:v>
      </x:c>
      <x:c r="I4" s="13" t="str">
        <x:v>Nagkaroon ng pagkakasundo at nangako ang ipinagsumbong na magbibigay siya ng 100 every other day</x:v>
      </x:c>
      <x:c r="J4" s="13" t="str">
        <x:v>Settled</x:v>
      </x:c>
      <x:c r="K4" s="13" t="str">
        <x:v>KP_COVERED_AMICABLE</x:v>
      </x:c>
      <x:c r="L4" s="13" t="str">
        <x:v>Eligible for KP screening</x:v>
      </x:c>
      <x:c r="M4" s="13" t="str">
        <x:v>Proceed to barangay conciliation / mediation screening</x:v>
      </x:c>
      <x:c r="N4" s="13" t="str">
        <x:v>Civil money/property return or small-contract dispute suitable for barangay conciliation if parties meet KP requirements.</x:v>
      </x:c>
      <x:c r="O4" s="13" t="str"/>
      <x:c r="P4" s="13" t="str">
        <x:v>Paglilinaw sa utang na pera</x:v>
      </x:c>
      <x:c r="Q4" s="13" t="str"/>
      <x:c r="R4" s="13" t="str">
        <x:v>KP CASE PSWT - Sheet1 - KP CASE PSWT - Sheet1.pdf</x:v>
      </x:c>
    </x:row>
    <x:row r="5" ht="36" customHeight="1">
      <x:c r="A5" s="13" t="str">
        <x:v>KP-25-012-PSWT</x:v>
      </x:c>
      <x:c r="B5" s="13" t="str">
        <x:v>debt</x:v>
      </x:c>
      <x:c r="C5" s="13" t="str">
        <x:v>Real PDF</x:v>
      </x:c>
      <x:c r="D5" s="13" t="str">
        <x:v>KP-25-012-PSWT</x:v>
      </x:c>
      <x:c r="E5" s="13" t="str">
        <x:v>Civil</x:v>
      </x:c>
      <x:c r="F5" s="13" t="str">
        <x:v>Paglilinaw sa utang na pera</x:v>
      </x:c>
      <x:c r="G5" s="13" t="str">
        <x:v>January 13, 2025</x:v>
      </x:c>
      <x:c r="H5" s="13" t="str">
        <x:v>January 22, 2025</x:v>
      </x:c>
      <x:c r="I5" s="13" t="str">
        <x:v>Nagkaroon ng pagkakasundo at nangako ang ipinagsumbong na magbibigay siya ng 2,500 ng January at katapusan</x:v>
      </x:c>
      <x:c r="J5" s="13" t="str">
        <x:v>Settled</x:v>
      </x:c>
      <x:c r="K5" s="13" t="str">
        <x:v>KP_COVERED_AMICABLE</x:v>
      </x:c>
      <x:c r="L5" s="13" t="str">
        <x:v>Eligible for KP screening</x:v>
      </x:c>
      <x:c r="M5" s="13" t="str">
        <x:v>Proceed to barangay conciliation / mediation screening</x:v>
      </x:c>
      <x:c r="N5" s="13" t="str">
        <x:v>Civil money/property return or small-contract dispute suitable for barangay conciliation if parties meet KP requirements.</x:v>
      </x:c>
      <x:c r="O5" s="13" t="str">
        <x:v>2,500</x:v>
      </x:c>
      <x:c r="P5" s="13" t="str">
        <x:v>Paglilinaw sa utang na pera</x:v>
      </x:c>
      <x:c r="Q5" s="13" t="str"/>
      <x:c r="R5" s="13" t="str">
        <x:v>KP CASE PSWT - Sheet1 - KP CASE PSWT - Sheet1.pdf</x:v>
      </x:c>
    </x:row>
    <x:row r="6" ht="36" customHeight="1">
      <x:c r="A6" s="13" t="str">
        <x:v>KP-25-014-PSWT</x:v>
      </x:c>
      <x:c r="B6" s="13" t="str">
        <x:v>debt</x:v>
      </x:c>
      <x:c r="C6" s="13" t="str">
        <x:v>Real PDF</x:v>
      </x:c>
      <x:c r="D6" s="13" t="str">
        <x:v>KP-25-014-PSWT</x:v>
      </x:c>
      <x:c r="E6" s="13" t="str">
        <x:v>Civil</x:v>
      </x:c>
      <x:c r="F6" s="13" t="str">
        <x:v>Pagbebenta ng motor na hindi pag-aari</x:v>
      </x:c>
      <x:c r="G6" s="13" t="str">
        <x:v>January 20, 2025</x:v>
      </x:c>
      <x:c r="H6" s="13" t="str">
        <x:v>January 23, 2025</x:v>
      </x:c>
      <x:c r="I6" s="13" t="str">
        <x:v>Nagkaroon ng pagkakasundo at nangako ang ipinagsumbong na magbibigay ng P10,000 sa February 10, 2025</x:v>
      </x:c>
      <x:c r="J6" s="13" t="str">
        <x:v>Settled</x:v>
      </x:c>
      <x:c r="K6" s="13" t="str">
        <x:v>KP_COVERED_AMICABLE</x:v>
      </x:c>
      <x:c r="L6" s="13" t="str">
        <x:v>Eligible for KP screening</x:v>
      </x:c>
      <x:c r="M6" s="13" t="str">
        <x:v>Proceed to barangay conciliation / mediation screening</x:v>
      </x:c>
      <x:c r="N6" s="13" t="str">
        <x:v>Civil money/property return or small-contract dispute suitable for barangay conciliation if parties meet KP requirements.</x:v>
      </x:c>
      <x:c r="O6" s="13" t="str">
        <x:v>P10,000</x:v>
      </x:c>
      <x:c r="P6" s="13" t="str">
        <x:v>Pagbebenta ng motor na hindi pag-aari</x:v>
      </x:c>
      <x:c r="Q6" s="13" t="str"/>
      <x:c r="R6" s="13" t="str">
        <x:v>KP CASE PSWT - Sheet1 - KP CASE PSWT - Sheet1.pdf</x:v>
      </x:c>
    </x:row>
    <x:row r="7" ht="36" customHeight="1">
      <x:c r="A7" s="13" t="str">
        <x:v>KP-25-015-PSWT</x:v>
      </x:c>
      <x:c r="B7" s="13" t="str">
        <x:v>debt</x:v>
      </x:c>
      <x:c r="C7" s="13" t="str">
        <x:v>Real PDF</x:v>
      </x:c>
      <x:c r="D7" s="13" t="str">
        <x:v>KP-25-015-PSWT</x:v>
      </x:c>
      <x:c r="E7" s="13" t="str">
        <x:v>Civil</x:v>
      </x:c>
      <x:c r="F7" s="13" t="str">
        <x:v>Hindi pagbabayad ng utang</x:v>
      </x:c>
      <x:c r="G7" s="13" t="str">
        <x:v>January 28, 2025</x:v>
      </x:c>
      <x:c r="H7" s="13" t="str">
        <x:v>February 20, 2025</x:v>
      </x:c>
      <x:c r="I7" s="13" t="str">
        <x:v>Nagkaroon ng pagkakasundo at nangako ang ipinagsumbong na maghuhulog ng 500 tuwing huwebes</x:v>
      </x:c>
      <x:c r="J7" s="13" t="str">
        <x:v>Settled</x:v>
      </x:c>
      <x:c r="K7" s="13" t="str">
        <x:v>KP_COVERED_AMICABLE</x:v>
      </x:c>
      <x:c r="L7" s="13" t="str">
        <x:v>Eligible for KP screening</x:v>
      </x:c>
      <x:c r="M7" s="13" t="str">
        <x:v>Proceed to barangay conciliation / mediation screening</x:v>
      </x:c>
      <x:c r="N7" s="13" t="str">
        <x:v>Civil money/property return or small-contract dispute suitable for barangay conciliation if parties meet KP requirements.</x:v>
      </x:c>
      <x:c r="O7" s="13" t="str"/>
      <x:c r="P7" s="13" t="str">
        <x:v>Hindi pagbabayad ng utang</x:v>
      </x:c>
      <x:c r="Q7" s="13" t="str"/>
      <x:c r="R7" s="13" t="str">
        <x:v>KP CASE PSWT - Sheet1 - KP CASE PSWT - Sheet1.pdf</x:v>
      </x:c>
    </x:row>
    <x:row r="8" ht="36" customHeight="1">
      <x:c r="A8" s="13" t="str">
        <x:v>KP-25-019-PSWT</x:v>
      </x:c>
      <x:c r="B8" s="13" t="str">
        <x:v>debt</x:v>
      </x:c>
      <x:c r="C8" s="13" t="str">
        <x:v>Real PDF</x:v>
      </x:c>
      <x:c r="D8" s="13" t="str">
        <x:v>KP-25-019-PSWT</x:v>
      </x:c>
      <x:c r="E8" s="13" t="str">
        <x:v>Civil</x:v>
      </x:c>
      <x:c r="F8" s="13" t="str">
        <x:v>Paglilinaw sa nakuhang pera</x:v>
      </x:c>
      <x:c r="G8" s="13" t="str">
        <x:v>February 21, 2025</x:v>
      </x:c>
      <x:c r="H8" s="13" t="str">
        <x:v>-</x:v>
      </x:c>
      <x:c r="I8" s="13" t="str">
        <x:v>Walang paghaharap na nangyari at hindi dumating ang ipinagsumbong. Hindi na bumalik ang maysumbong.</x:v>
      </x:c>
      <x:c r="J8" s="13" t="str">
        <x:v>Dismiss</x:v>
      </x:c>
      <x:c r="K8" s="13" t="str">
        <x:v>KP_COVERED_AMICABLE</x:v>
      </x:c>
      <x:c r="L8" s="13" t="str">
        <x:v>Eligible for KP screening</x:v>
      </x:c>
      <x:c r="M8" s="13" t="str">
        <x:v>Proceed to barangay conciliation / mediation screening</x:v>
      </x:c>
      <x:c r="N8" s="13" t="str">
        <x:v>Civil money/property return or small-contract dispute suitable for barangay conciliation if parties meet KP requirements.</x:v>
      </x:c>
      <x:c r="O8" s="13" t="str"/>
      <x:c r="P8" s="13" t="str">
        <x:v>Paglilinaw sa nakuhang pera</x:v>
      </x:c>
      <x:c r="Q8" s="13" t="str"/>
      <x:c r="R8" s="13" t="str">
        <x:v>KP CASE PSWT - Sheet1 - KP CASE PSWT - Sheet1.pdf</x:v>
      </x:c>
    </x:row>
    <x:row r="9" ht="36" customHeight="1">
      <x:c r="A9" s="13" t="str">
        <x:v>KP-25-029-PSWT</x:v>
      </x:c>
      <x:c r="B9" s="13" t="str">
        <x:v>debt</x:v>
      </x:c>
      <x:c r="C9" s="13" t="str">
        <x:v>Real PDF</x:v>
      </x:c>
      <x:c r="D9" s="13" t="str">
        <x:v>KP-25-029-PSWT</x:v>
      </x:c>
      <x:c r="E9" s="13" t="str">
        <x:v>Civil</x:v>
      </x:c>
      <x:c r="F9" s="13" t="str">
        <x:v>Paglilinaw sa utang at pagsasalita ng hindi maganda</x:v>
      </x:c>
      <x:c r="G9" s="13" t="str">
        <x:v>March 20, 2025</x:v>
      </x:c>
      <x:c r="H9" s="13" t="str">
        <x:v>March 25, 2025</x:v>
      </x:c>
      <x:c r="I9" s="13" t="str">
        <x:v>Nagkaroon ng pagkakasundo na babayaran ng ipinagsumbong ang utang na nakapangalan sa may sumbong at wala na siyang pananagutan. Ibibigay ng ipinagsumbong ang pambayad sa maysumbong at siya ang maghuhulog.</x:v>
      </x:c>
      <x:c r="J9" s="13" t="str">
        <x:v>Settled</x:v>
      </x:c>
      <x:c r="K9" s="13" t="str">
        <x:v>KP_COVERED_AMICABLE</x:v>
      </x:c>
      <x:c r="L9" s="13" t="str">
        <x:v>Eligible for KP screening</x:v>
      </x:c>
      <x:c r="M9" s="13" t="str">
        <x:v>Proceed to barangay conciliation / mediation screening</x:v>
      </x:c>
      <x:c r="N9" s="13" t="str">
        <x:v>Civil money/property return or small-contract dispute suitable for barangay conciliation if parties meet KP requirements.</x:v>
      </x:c>
      <x:c r="O9" s="13" t="str"/>
      <x:c r="P9" s="13" t="str">
        <x:v>Paglilinaw sa utang at pagsasalita ng hindi maganda</x:v>
      </x:c>
      <x:c r="Q9" s="13" t="str"/>
      <x:c r="R9" s="13" t="str">
        <x:v>KP CASE PSWT - Sheet1 - KP CASE PSWT - Sheet1.pdf</x:v>
      </x:c>
    </x:row>
    <x:row r="10" ht="36" customHeight="1">
      <x:c r="A10" s="13" t="str">
        <x:v>KP-25-033-PSWT</x:v>
      </x:c>
      <x:c r="B10" s="13" t="str">
        <x:v>debt</x:v>
      </x:c>
      <x:c r="C10" s="13" t="str">
        <x:v>Real PDF</x:v>
      </x:c>
      <x:c r="D10" s="13" t="str">
        <x:v>KP-25-033-PSWT</x:v>
      </x:c>
      <x:c r="E10" s="13" t="str">
        <x:v>Civil</x:v>
      </x:c>
      <x:c r="F10" s="13" t="str">
        <x:v>Hindi pagbabayad ng renta</x:v>
      </x:c>
      <x:c r="G10" s="13" t="str">
        <x:v>March 28, 2025</x:v>
      </x:c>
      <x:c r="H10" s="13" t="str">
        <x:v>May 26, 2025</x:v>
      </x:c>
      <x:c r="I10" s="13" t="str">
        <x:v>Nagkaroon ng pagkakasundo at humingi ng pasensya ang ipinagsumbong at nangako na magbibigay siya ng P500 monthly hanggang matapos ang halagang P5,000.</x:v>
      </x:c>
      <x:c r="J10" s="13" t="str">
        <x:v>Settled</x:v>
      </x:c>
      <x:c r="K10" s="13" t="str">
        <x:v>KP_COVERED_AMICABLE</x:v>
      </x:c>
      <x:c r="L10" s="13" t="str">
        <x:v>Eligible for KP screening</x:v>
      </x:c>
      <x:c r="M10" s="13" t="str">
        <x:v>Proceed to barangay conciliation / mediation screening</x:v>
      </x:c>
      <x:c r="N10" s="13" t="str">
        <x:v>Civil money/property return or small-contract dispute suitable for barangay conciliation if parties meet KP requirements.</x:v>
      </x:c>
      <x:c r="O10" s="13" t="str">
        <x:v>P500; P5,000</x:v>
      </x:c>
      <x:c r="P10" s="13" t="str">
        <x:v>Hindi pagbabayad ng renta</x:v>
      </x:c>
      <x:c r="Q10" s="13" t="str"/>
      <x:c r="R10" s="13" t="str">
        <x:v>KP CASE PSWT - Sheet1 - KP CASE PSWT - Sheet1.pdf</x:v>
      </x:c>
    </x:row>
    <x:row r="11" ht="36" customHeight="1">
      <x:c r="A11" s="13" t="str">
        <x:v>KP-25-040-PSWT</x:v>
      </x:c>
      <x:c r="B11" s="13" t="str">
        <x:v>debt</x:v>
      </x:c>
      <x:c r="C11" s="13" t="str">
        <x:v>Real PDF</x:v>
      </x:c>
      <x:c r="D11" s="13" t="str">
        <x:v>KP-25-040-PSWT</x:v>
      </x:c>
      <x:c r="E11" s="13" t="str">
        <x:v>Civil</x:v>
      </x:c>
      <x:c r="F11" s="13" t="str">
        <x:v>Hindi pagtapos sa ipinagawang electrical wiring</x:v>
      </x:c>
      <x:c r="G11" s="13" t="str">
        <x:v>April 29, 2025</x:v>
      </x:c>
      <x:c r="H11" s="13" t="str">
        <x:v>-</x:v>
      </x:c>
      <x:c r="I11" s="13" t="str">
        <x:v>Walang pagkakasundo sa dalawang panig.</x:v>
      </x:c>
      <x:c r="J11" s="13" t="str">
        <x:v>Endorsed</x:v>
      </x:c>
      <x:c r="K11" s="13" t="str">
        <x:v>KP_COVERED_AMICABLE</x:v>
      </x:c>
      <x:c r="L11" s="13" t="str">
        <x:v>Eligible for KP screening</x:v>
      </x:c>
      <x:c r="M11" s="13" t="str">
        <x:v>Proceed to barangay conciliation / mediation screening</x:v>
      </x:c>
      <x:c r="N11" s="13" t="str">
        <x:v>Civil money/property return or small-contract dispute suitable for barangay conciliation if parties meet KP requirements.</x:v>
      </x:c>
      <x:c r="O11" s="13" t="str"/>
      <x:c r="P11" s="13" t="str">
        <x:v>Hindi pagtapos sa ipinagawang electrical wiring</x:v>
      </x:c>
      <x:c r="Q11" s="13" t="str"/>
      <x:c r="R11" s="13" t="str">
        <x:v>KP CASE PSWT - Sheet1 - KP CASE PSWT - Sheet1.pdf</x:v>
      </x:c>
    </x:row>
    <x:row r="12" ht="36" customHeight="1">
      <x:c r="A12" s="13" t="str">
        <x:v>KP-25-041-PSWT</x:v>
      </x:c>
      <x:c r="B12" s="13" t="str">
        <x:v>debt</x:v>
      </x:c>
      <x:c r="C12" s="13" t="str">
        <x:v>Real PDF</x:v>
      </x:c>
      <x:c r="D12" s="13" t="str">
        <x:v>KP-25-041-PSWT</x:v>
      </x:c>
      <x:c r="E12" s="13" t="str">
        <x:v>Civil</x:v>
      </x:c>
      <x:c r="F12" s="13" t="str">
        <x:v>Hindi pagsauli ng pera</x:v>
      </x:c>
      <x:c r="G12" s="13" t="str">
        <x:v>May 5, 2025</x:v>
      </x:c>
      <x:c r="H12" s="13" t="str">
        <x:v>May 21, 2025</x:v>
      </x:c>
      <x:c r="I12" s="13" t="str">
        <x:v>Nagkaroon ng pagkakasundo. Magbibigay ang ipinagsumbong ng 2,000 at magbibigay ulit ng 2,000 sa June 5.</x:v>
      </x:c>
      <x:c r="J12" s="13" t="str">
        <x:v>Settled</x:v>
      </x:c>
      <x:c r="K12" s="13" t="str">
        <x:v>KP_COVERED_AMICABLE</x:v>
      </x:c>
      <x:c r="L12" s="13" t="str">
        <x:v>Eligible for KP screening</x:v>
      </x:c>
      <x:c r="M12" s="13" t="str">
        <x:v>Proceed to barangay conciliation / mediation screening</x:v>
      </x:c>
      <x:c r="N12" s="13" t="str">
        <x:v>Civil money/property return or small-contract dispute suitable for barangay conciliation if parties meet KP requirements.</x:v>
      </x:c>
      <x:c r="O12" s="13" t="str">
        <x:v>2,000; 2,000</x:v>
      </x:c>
      <x:c r="P12" s="13" t="str">
        <x:v>Hindi pagsauli ng pera</x:v>
      </x:c>
      <x:c r="Q12" s="13" t="str"/>
      <x:c r="R12" s="13" t="str">
        <x:v>KP CASE PSWT - Sheet1 - KP CASE PSWT - Sheet1.pdf</x:v>
      </x:c>
    </x:row>
    <x:row r="13" ht="36" customHeight="1">
      <x:c r="A13" s="13" t="str">
        <x:v>KP-25-042-PSWT</x:v>
      </x:c>
      <x:c r="B13" s="13" t="str">
        <x:v>debt</x:v>
      </x:c>
      <x:c r="C13" s="13" t="str">
        <x:v>Real PDF</x:v>
      </x:c>
      <x:c r="D13" s="13" t="str">
        <x:v>KP-25-042-PSWT</x:v>
      </x:c>
      <x:c r="E13" s="13" t="str">
        <x:v>Civil</x:v>
      </x:c>
      <x:c r="F13" s="13" t="str">
        <x:v>Hindi pagbayayad ng utang</x:v>
      </x:c>
      <x:c r="G13" s="13" t="str">
        <x:v>May 13, 2025</x:v>
      </x:c>
      <x:c r="H13" s="13" t="str">
        <x:v>May 21, 2025</x:v>
      </x:c>
      <x:c r="I13" s="13" t="str">
        <x:v>Nagkaroon ng pagkakasundo na magbibigay ang ipinagsumbong ng 1,200 sa June, 1,800 sa June 15 at 1,800 sa June 30, 2025.</x:v>
      </x:c>
      <x:c r="J13" s="13" t="str">
        <x:v>Settled</x:v>
      </x:c>
      <x:c r="K13" s="13" t="str">
        <x:v>KP_COVERED_AMICABLE</x:v>
      </x:c>
      <x:c r="L13" s="13" t="str">
        <x:v>Eligible for KP screening</x:v>
      </x:c>
      <x:c r="M13" s="13" t="str">
        <x:v>Proceed to barangay conciliation / mediation screening</x:v>
      </x:c>
      <x:c r="N13" s="13" t="str">
        <x:v>Civil money/property return or small-contract dispute suitable for barangay conciliation if parties meet KP requirements.</x:v>
      </x:c>
      <x:c r="O13" s="13" t="str">
        <x:v>1,200; 1,800; 1,800</x:v>
      </x:c>
      <x:c r="P13" s="13" t="str">
        <x:v>Hindi pagbayayad ng utang</x:v>
      </x:c>
      <x:c r="Q13" s="13" t="str"/>
      <x:c r="R13" s="13" t="str">
        <x:v>KP CASE PSWT - Sheet1 - KP CASE PSWT - Sheet1.pdf</x:v>
      </x:c>
    </x:row>
    <x:row r="14" ht="36" customHeight="1">
      <x:c r="A14" s="13" t="str">
        <x:v>KP-25-043-PSWT</x:v>
      </x:c>
      <x:c r="B14" s="13" t="str">
        <x:v>debt</x:v>
      </x:c>
      <x:c r="C14" s="13" t="str">
        <x:v>Real PDF</x:v>
      </x:c>
      <x:c r="D14" s="13" t="str">
        <x:v>KP-25-043-PSWT</x:v>
      </x:c>
      <x:c r="E14" s="13" t="str">
        <x:v>Civil</x:v>
      </x:c>
      <x:c r="F14" s="13" t="str">
        <x:v>Hindi pagbabayad ng renta ng bahay</x:v>
      </x:c>
      <x:c r="G14" s="13" t="str">
        <x:v>May 19, 2025</x:v>
      </x:c>
      <x:c r="H14" s="13" t="str">
        <x:v>May 30, 2025</x:v>
      </x:c>
      <x:c r="I14" s="13" t="str">
        <x:v>Nagkaroon ng pagkakasundo na magbibigay ng P3,000 bayad sa tubig at ilaw. Binibigyan sila ng palugit hanggang JUne 14, 2025 para umalis sa inuupahan. Ang bayad sa bahay ay babayaran ng 2,000 buwan buwan hanggang matapos ang halagang P10,000.</x:v>
      </x:c>
      <x:c r="J14" s="13" t="str">
        <x:v>Settled</x:v>
      </x:c>
      <x:c r="K14" s="13" t="str">
        <x:v>KP_COVERED_AMICABLE</x:v>
      </x:c>
      <x:c r="L14" s="13" t="str">
        <x:v>Eligible for KP screening</x:v>
      </x:c>
      <x:c r="M14" s="13" t="str">
        <x:v>Proceed to barangay conciliation / mediation screening</x:v>
      </x:c>
      <x:c r="N14" s="13" t="str">
        <x:v>Civil money/property return or small-contract dispute suitable for barangay conciliation if parties meet KP requirements.</x:v>
      </x:c>
      <x:c r="O14" s="13" t="str">
        <x:v>P3,000; 2,000; P10,000</x:v>
      </x:c>
      <x:c r="P14" s="13" t="str">
        <x:v>Hindi pagbabayad ng renta ng bahay</x:v>
      </x:c>
      <x:c r="Q14" s="13" t="str"/>
      <x:c r="R14" s="13" t="str">
        <x:v>KP CASE PSWT - Sheet1 - KP CASE PSWT - Sheet1.pdf</x:v>
      </x:c>
    </x:row>
    <x:row r="15" ht="36" customHeight="1">
      <x:c r="A15" s="13" t="str">
        <x:v>KP-25-044-PSWT</x:v>
      </x:c>
      <x:c r="B15" s="13" t="str">
        <x:v>debt</x:v>
      </x:c>
      <x:c r="C15" s="13" t="str">
        <x:v>Real PDF</x:v>
      </x:c>
      <x:c r="D15" s="13" t="str">
        <x:v>KP-25-044-PSWT</x:v>
      </x:c>
      <x:c r="E15" s="13" t="str">
        <x:v>Civil</x:v>
      </x:c>
      <x:c r="F15" s="13" t="str">
        <x:v>Paglilinaw sa utang</x:v>
      </x:c>
      <x:c r="G15" s="13" t="str">
        <x:v>May 20, 2025</x:v>
      </x:c>
      <x:c r="H15" s="13" t="str">
        <x:v>May 23, 2025</x:v>
      </x:c>
      <x:c r="I15" s="13" t="str">
        <x:v>Nagkaroon ng pagkakasundo. Nangako ang ipinagsumbong na maghuhulog sila ng P5,000 buwan buwan na nagkakahalaga ng P150,000 at huhulugan sa loob ng 30 months.</x:v>
      </x:c>
      <x:c r="J15" s="13" t="str">
        <x:v>Settled</x:v>
      </x:c>
      <x:c r="K15" s="13" t="str">
        <x:v>KP_COVERED_AMICABLE</x:v>
      </x:c>
      <x:c r="L15" s="13" t="str">
        <x:v>Eligible for KP screening</x:v>
      </x:c>
      <x:c r="M15" s="13" t="str">
        <x:v>Proceed to barangay conciliation / mediation screening</x:v>
      </x:c>
      <x:c r="N15" s="13" t="str">
        <x:v>Civil money/property return or small-contract dispute suitable for barangay conciliation if parties meet KP requirements.</x:v>
      </x:c>
      <x:c r="O15" s="13" t="str">
        <x:v>P5,000; P150,000</x:v>
      </x:c>
      <x:c r="P15" s="13" t="str">
        <x:v>Paglilinaw sa utang</x:v>
      </x:c>
      <x:c r="Q15" s="13" t="str"/>
      <x:c r="R15" s="13" t="str">
        <x:v>KP CASE PSWT - Sheet1 - KP CASE PSWT - Sheet1.pdf</x:v>
      </x:c>
    </x:row>
    <x:row r="16" ht="36" customHeight="1">
      <x:c r="A16" s="13" t="str">
        <x:v>KP-25-045-PSWT</x:v>
      </x:c>
      <x:c r="B16" s="13" t="str">
        <x:v>debt</x:v>
      </x:c>
      <x:c r="C16" s="13" t="str">
        <x:v>Real PDF</x:v>
      </x:c>
      <x:c r="D16" s="13" t="str">
        <x:v>KP-25-045-PSWT</x:v>
      </x:c>
      <x:c r="E16" s="13" t="str">
        <x:v>Civil</x:v>
      </x:c>
      <x:c r="F16" s="13" t="str">
        <x:v>Paglilinaw sa utang</x:v>
      </x:c>
      <x:c r="G16" s="13" t="str">
        <x:v>May 22, 2025</x:v>
      </x:c>
      <x:c r="H16" s="13" t="str">
        <x:v>June 17, 2025</x:v>
      </x:c>
      <x:c r="I16" s="13" t="str">
        <x:v>Nagkaroon ng pagkakasundo na ang ipinagsumbong ay maghuhulog tuwing 15 at 30 ng buwan ng 500.</x:v>
      </x:c>
      <x:c r="J16" s="13" t="str">
        <x:v>Settled</x:v>
      </x:c>
      <x:c r="K16" s="13" t="str">
        <x:v>KP_COVERED_AMICABLE</x:v>
      </x:c>
      <x:c r="L16" s="13" t="str">
        <x:v>Eligible for KP screening</x:v>
      </x:c>
      <x:c r="M16" s="13" t="str">
        <x:v>Proceed to barangay conciliation / mediation screening</x:v>
      </x:c>
      <x:c r="N16" s="13" t="str">
        <x:v>Civil money/property return or small-contract dispute suitable for barangay conciliation if parties meet KP requirements.</x:v>
      </x:c>
      <x:c r="O16" s="13" t="str"/>
      <x:c r="P16" s="13" t="str">
        <x:v>Paglilinaw sa utang</x:v>
      </x:c>
      <x:c r="Q16" s="13" t="str"/>
      <x:c r="R16" s="13" t="str">
        <x:v>KP CASE PSWT - Sheet1 - KP CASE PSWT - Sheet1.pdf</x:v>
      </x:c>
    </x:row>
    <x:row r="17" ht="36" customHeight="1">
      <x:c r="A17" s="13" t="str">
        <x:v>KP-25-047-PSWT</x:v>
      </x:c>
      <x:c r="B17" s="13" t="str">
        <x:v>debt</x:v>
      </x:c>
      <x:c r="C17" s="13" t="str">
        <x:v>Real PDF</x:v>
      </x:c>
      <x:c r="D17" s="13" t="str">
        <x:v>KP-25-047-PSWT</x:v>
      </x:c>
      <x:c r="E17" s="13" t="str">
        <x:v>Civil</x:v>
      </x:c>
      <x:c r="F17" s="13" t="str">
        <x:v>Hindi pagbabayad sa utang</x:v>
      </x:c>
      <x:c r="G17" s="13" t="str">
        <x:v>May 30, 2025</x:v>
      </x:c>
      <x:c r="H17" s="13" t="str">
        <x:v>June 3, 2025</x:v>
      </x:c>
      <x:c r="I17" s="13" t="str">
        <x:v>Nagkaroon ng pagkakaunawaaan na sila ay maghuhulog ng kanilang pagkakautang. At ang pananagutan ng pagkakautang ng mga taong nagamit ay ang ipinagsumbong ang magbabayad, P800 araw-araw.</x:v>
      </x:c>
      <x:c r="J17" s="13" t="str">
        <x:v>Settled</x:v>
      </x:c>
      <x:c r="K17" s="13" t="str">
        <x:v>KP_COVERED_AMICABLE</x:v>
      </x:c>
      <x:c r="L17" s="13" t="str">
        <x:v>Eligible for KP screening</x:v>
      </x:c>
      <x:c r="M17" s="13" t="str">
        <x:v>Proceed to barangay conciliation / mediation screening</x:v>
      </x:c>
      <x:c r="N17" s="13" t="str">
        <x:v>Civil money/property return or small-contract dispute suitable for barangay conciliation if parties meet KP requirements.</x:v>
      </x:c>
      <x:c r="O17" s="13" t="str">
        <x:v>P800</x:v>
      </x:c>
      <x:c r="P17" s="13" t="str">
        <x:v>Hindi pagbabayad sa utang</x:v>
      </x:c>
      <x:c r="Q17" s="13" t="str"/>
      <x:c r="R17" s="13" t="str">
        <x:v>KP CASE PSWT - Sheet1 - KP CASE PSWT - Sheet1.pdf</x:v>
      </x:c>
    </x:row>
    <x:row r="18" ht="36" customHeight="1">
      <x:c r="A18" s="13" t="str">
        <x:v>KP-25-048-PSWT</x:v>
      </x:c>
      <x:c r="B18" s="13" t="str">
        <x:v>debt</x:v>
      </x:c>
      <x:c r="C18" s="13" t="str">
        <x:v>Real PDF</x:v>
      </x:c>
      <x:c r="D18" s="13" t="str">
        <x:v>KP-25-048-PSWT</x:v>
      </x:c>
      <x:c r="E18" s="13" t="str">
        <x:v>Civil</x:v>
      </x:c>
      <x:c r="F18" s="13" t="str">
        <x:v>Hindi pagsasauli ng cellphone</x:v>
      </x:c>
      <x:c r="G18" s="13" t="str">
        <x:v>June 2, 2025</x:v>
      </x:c>
      <x:c r="H18" s="13" t="str">
        <x:v>-</x:v>
      </x:c>
      <x:c r="I18" s="13" t="str">
        <x:v>Walang pagkakasundo sa dalawang panig.</x:v>
      </x:c>
      <x:c r="J18" s="13" t="str">
        <x:v>Pending</x:v>
      </x:c>
      <x:c r="K18" s="13" t="str">
        <x:v>KP_COVERED_AMICABLE</x:v>
      </x:c>
      <x:c r="L18" s="13" t="str">
        <x:v>Eligible for KP screening</x:v>
      </x:c>
      <x:c r="M18" s="13" t="str">
        <x:v>Proceed to barangay conciliation / mediation screening</x:v>
      </x:c>
      <x:c r="N18" s="13" t="str">
        <x:v>Civil money/property return or small-contract dispute suitable for barangay conciliation if parties meet KP requirements.</x:v>
      </x:c>
      <x:c r="O18" s="13" t="str"/>
      <x:c r="P18" s="13" t="str">
        <x:v>Hindi pagsasauli ng cellphone</x:v>
      </x:c>
      <x:c r="Q18" s="13" t="str"/>
      <x:c r="R18" s="13" t="str">
        <x:v>KP CASE PSWT - Sheet1 - KP CASE PSWT - Sheet1.pdf</x:v>
      </x:c>
    </x:row>
    <x:row r="19" ht="36" customHeight="1">
      <x:c r="A19" s="13" t="str">
        <x:v>KP-25-049-PSWT</x:v>
      </x:c>
      <x:c r="B19" s="13" t="str">
        <x:v>debt</x:v>
      </x:c>
      <x:c r="C19" s="13" t="str">
        <x:v>Real PDF</x:v>
      </x:c>
      <x:c r="D19" s="13" t="str">
        <x:v>KP-25-049-PSWT</x:v>
      </x:c>
      <x:c r="E19" s="13" t="str">
        <x:v>Civil</x:v>
      </x:c>
      <x:c r="F19" s="13" t="str">
        <x:v>Hindi pagbabayad sa utang</x:v>
      </x:c>
      <x:c r="G19" s="13" t="str">
        <x:v>June 9, 2025</x:v>
      </x:c>
      <x:c r="H19" s="13" t="str">
        <x:v>June 26, 2025</x:v>
      </x:c>
      <x:c r="I19" s="13" t="str">
        <x:v>Nagkaroon ng pagkakasundo at nanngako ang ipinagsumbong na magbibigay ng P1,000 tuwing 22 at 26 ng buwan hanggang matapos ang P8,000.</x:v>
      </x:c>
      <x:c r="J19" s="13" t="str">
        <x:v>Settled</x:v>
      </x:c>
      <x:c r="K19" s="13" t="str">
        <x:v>KP_COVERED_AMICABLE</x:v>
      </x:c>
      <x:c r="L19" s="13" t="str">
        <x:v>Eligible for KP screening</x:v>
      </x:c>
      <x:c r="M19" s="13" t="str">
        <x:v>Proceed to barangay conciliation / mediation screening</x:v>
      </x:c>
      <x:c r="N19" s="13" t="str">
        <x:v>Civil money/property return or small-contract dispute suitable for barangay conciliation if parties meet KP requirements.</x:v>
      </x:c>
      <x:c r="O19" s="13" t="str">
        <x:v>P1,000; P8,000</x:v>
      </x:c>
      <x:c r="P19" s="13" t="str">
        <x:v>Hindi pagbabayad sa utang</x:v>
      </x:c>
      <x:c r="Q19" s="13" t="str"/>
      <x:c r="R19" s="13" t="str">
        <x:v>KP CASE PSWT - Sheet1 - KP CASE PSWT - Sheet1.pdf</x:v>
      </x:c>
    </x:row>
    <x:row r="20" ht="36" customHeight="1">
      <x:c r="A20" s="13" t="str">
        <x:v>KP-25-050-PSWT</x:v>
      </x:c>
      <x:c r="B20" s="13" t="str">
        <x:v>debt</x:v>
      </x:c>
      <x:c r="C20" s="13" t="str">
        <x:v>Real PDF</x:v>
      </x:c>
      <x:c r="D20" s="13" t="str">
        <x:v>KP-25-050-PSWT</x:v>
      </x:c>
      <x:c r="E20" s="13" t="str">
        <x:v>Civil</x:v>
      </x:c>
      <x:c r="F20" s="13" t="str">
        <x:v>Paglilinaw sa hindi pagbabayad ng utang</x:v>
      </x:c>
      <x:c r="G20" s="13" t="str">
        <x:v>June 10, 2025</x:v>
      </x:c>
      <x:c r="H20" s="13" t="str">
        <x:v>June 13, 2025</x:v>
      </x:c>
      <x:c r="I20" s="13" t="str">
        <x:v>Nagkaroon ng pagkakasundo at nangako ang ipinagsumbong na maghuhulog ng P3,000 weekly tuwing araw ng Sabado simula September 2025 hanggang matapos ang halagang P302, 325.</x:v>
      </x:c>
      <x:c r="J20" s="13" t="str">
        <x:v>Settled</x:v>
      </x:c>
      <x:c r="K20" s="13" t="str">
        <x:v>KP_COVERED_AMICABLE</x:v>
      </x:c>
      <x:c r="L20" s="13" t="str">
        <x:v>Eligible for KP screening</x:v>
      </x:c>
      <x:c r="M20" s="13" t="str">
        <x:v>Proceed to barangay conciliation / mediation screening</x:v>
      </x:c>
      <x:c r="N20" s="13" t="str">
        <x:v>Civil money/property return or small-contract dispute suitable for barangay conciliation if parties meet KP requirements.</x:v>
      </x:c>
      <x:c r="O20" s="13" t="str">
        <x:v>P3,000; P302,</x:v>
      </x:c>
      <x:c r="P20" s="13" t="str">
        <x:v>Paglilinaw sa hindi pagbabayad ng utang</x:v>
      </x:c>
      <x:c r="Q20" s="13" t="str"/>
      <x:c r="R20" s="13" t="str">
        <x:v>KP CASE PSWT - Sheet1 - KP CASE PSWT - Sheet1.pdf</x:v>
      </x:c>
    </x:row>
    <x:row r="21" ht="36" customHeight="1">
      <x:c r="A21" s="13" t="str">
        <x:v>KP-25-052-PSWT</x:v>
      </x:c>
      <x:c r="B21" s="13" t="str">
        <x:v>debt</x:v>
      </x:c>
      <x:c r="C21" s="13" t="str">
        <x:v>Real PDF</x:v>
      </x:c>
      <x:c r="D21" s="13" t="str">
        <x:v>KP-25-052-PSWT</x:v>
      </x:c>
      <x:c r="E21" s="13" t="str">
        <x:v>Civil</x:v>
      </x:c>
      <x:c r="F21" s="13" t="str">
        <x:v>Paglilinaw sa biniling motor</x:v>
      </x:c>
      <x:c r="G21" s="13" t="str">
        <x:v>May 13, 2025</x:v>
      </x:c>
      <x:c r="H21" s="13" t="str">
        <x:v>-</x:v>
      </x:c>
      <x:c r="I21" s="13" t="str">
        <x:v>Walang pagkakasundo sa dalawang panig.</x:v>
      </x:c>
      <x:c r="J21" s="13" t="str">
        <x:v>Endorsed</x:v>
      </x:c>
      <x:c r="K21" s="13" t="str">
        <x:v>KP_COVERED_AMICABLE</x:v>
      </x:c>
      <x:c r="L21" s="13" t="str">
        <x:v>Eligible for KP screening</x:v>
      </x:c>
      <x:c r="M21" s="13" t="str">
        <x:v>Proceed to barangay conciliation / mediation screening</x:v>
      </x:c>
      <x:c r="N21" s="13" t="str">
        <x:v>Civil money/property return or small-contract dispute suitable for barangay conciliation if parties meet KP requirements.</x:v>
      </x:c>
      <x:c r="O21" s="13" t="str"/>
      <x:c r="P21" s="13" t="str">
        <x:v>Paglilinaw sa biniling motor</x:v>
      </x:c>
      <x:c r="Q21" s="13" t="str"/>
      <x:c r="R21" s="13" t="str">
        <x:v>KP CASE PSWT - Sheet1 - KP CASE PSWT - Sheet1.pdf</x:v>
      </x:c>
    </x:row>
    <x:row r="22" ht="36" customHeight="1">
      <x:c r="A22" s="13" t="str">
        <x:v>KP-25-053-PSWT</x:v>
      </x:c>
      <x:c r="B22" s="13" t="str">
        <x:v>debt</x:v>
      </x:c>
      <x:c r="C22" s="13" t="str">
        <x:v>Real PDF</x:v>
      </x:c>
      <x:c r="D22" s="13" t="str">
        <x:v>KP-25-053-PSWT</x:v>
      </x:c>
      <x:c r="E22" s="13" t="str">
        <x:v>Civil</x:v>
      </x:c>
      <x:c r="F22" s="13" t="str">
        <x:v>Paglilinaw sa utang</x:v>
      </x:c>
      <x:c r="G22" s="13" t="str">
        <x:v>June 13, 2025</x:v>
      </x:c>
      <x:c r="H22" s="13" t="str">
        <x:v>October 29, 2025</x:v>
      </x:c>
      <x:c r="I22" s="13" t="str">
        <x:v>Nangako ang ipinagsumbong na maghuhulog tuwing sweldo ng P5,000 hanggang matapos ang P15,000.</x:v>
      </x:c>
      <x:c r="J22" s="13" t="str">
        <x:v>Settled</x:v>
      </x:c>
      <x:c r="K22" s="13" t="str">
        <x:v>KP_COVERED_AMICABLE</x:v>
      </x:c>
      <x:c r="L22" s="13" t="str">
        <x:v>Eligible for KP screening</x:v>
      </x:c>
      <x:c r="M22" s="13" t="str">
        <x:v>Proceed to barangay conciliation / mediation screening</x:v>
      </x:c>
      <x:c r="N22" s="13" t="str">
        <x:v>Civil money/property return or small-contract dispute suitable for barangay conciliation if parties meet KP requirements.</x:v>
      </x:c>
      <x:c r="O22" s="13" t="str">
        <x:v>P5,000; P15,000</x:v>
      </x:c>
      <x:c r="P22" s="13" t="str">
        <x:v>Paglilinaw sa utang</x:v>
      </x:c>
      <x:c r="Q22" s="13" t="str"/>
      <x:c r="R22" s="13" t="str">
        <x:v>KP CASE PSWT - Sheet1 - KP CASE PSWT - Sheet1.pdf</x:v>
      </x:c>
    </x:row>
    <x:row r="23" ht="36" customHeight="1">
      <x:c r="A23" s="13" t="str">
        <x:v>KP-25-058-PSWT</x:v>
      </x:c>
      <x:c r="B23" s="13" t="str">
        <x:v>debt</x:v>
      </x:c>
      <x:c r="C23" s="13" t="str">
        <x:v>Real PDF</x:v>
      </x:c>
      <x:c r="D23" s="13" t="str">
        <x:v>KP-25-058-PSWT</x:v>
      </x:c>
      <x:c r="E23" s="13" t="str">
        <x:v>Civil</x:v>
      </x:c>
      <x:c r="F23" s="13" t="str">
        <x:v>Paglilinaw sa welding machine</x:v>
      </x:c>
      <x:c r="G23" s="13" t="str">
        <x:v>July 2, 2025</x:v>
      </x:c>
      <x:c r="H23" s="13" t="str">
        <x:v>-</x:v>
      </x:c>
      <x:c r="I23" s="13" t="str">
        <x:v>Hindi dumadating ang ipinagsumbong kaya't ang maysumbong ay may karapatan ng maghain ng kaukulang reklamo sa kinauukulang tanggapan.</x:v>
      </x:c>
      <x:c r="J23" s="13" t="str">
        <x:v>Endorsed</x:v>
      </x:c>
      <x:c r="K23" s="13" t="str">
        <x:v>KP_COVERED_AMICABLE</x:v>
      </x:c>
      <x:c r="L23" s="13" t="str">
        <x:v>Eligible for KP screening</x:v>
      </x:c>
      <x:c r="M23" s="13" t="str">
        <x:v>Proceed to barangay conciliation / mediation screening</x:v>
      </x:c>
      <x:c r="N23" s="13" t="str">
        <x:v>Civil money/property return or small-contract dispute suitable for barangay conciliation if parties meet KP requirements.</x:v>
      </x:c>
      <x:c r="O23" s="13" t="str"/>
      <x:c r="P23" s="13" t="str">
        <x:v>Paglilinaw sa welding machine</x:v>
      </x:c>
      <x:c r="Q23" s="13" t="str"/>
      <x:c r="R23" s="13" t="str">
        <x:v>KP CASE PSWT - Sheet1 - KP CASE PSWT - Sheet1.pdf</x:v>
      </x:c>
    </x:row>
    <x:row r="24" ht="36" customHeight="1">
      <x:c r="A24" s="13" t="str">
        <x:v>KP-25-059-PSWT</x:v>
      </x:c>
      <x:c r="B24" s="13" t="str">
        <x:v>debt</x:v>
      </x:c>
      <x:c r="C24" s="13" t="str">
        <x:v>Real PDF</x:v>
      </x:c>
      <x:c r="D24" s="13" t="str">
        <x:v>KP-25-059-PSWT</x:v>
      </x:c>
      <x:c r="E24" s="13" t="str">
        <x:v>Civil</x:v>
      </x:c>
      <x:c r="F24" s="13" t="str">
        <x:v>Kumuha ng gamit ng walang pahintulot</x:v>
      </x:c>
      <x:c r="G24" s="13" t="str">
        <x:v>July 4, 2025</x:v>
      </x:c>
      <x:c r="H24" s="13" t="str">
        <x:v>-</x:v>
      </x:c>
      <x:c r="I24" s="13" t="str">
        <x:v>Nagkaroon ng pagkakasundo na babayaran ng ipinagsumbong ang gamit na halagang P70,000 hanggang October 16, 2025. Sa oras na hindi matupad ang kasunduan ang mga gamit ay ibebenta na.</x:v>
      </x:c>
      <x:c r="J24" s="13" t="str">
        <x:v>Settled</x:v>
      </x:c>
      <x:c r="K24" s="13" t="str">
        <x:v>KP_COVERED_AMICABLE</x:v>
      </x:c>
      <x:c r="L24" s="13" t="str">
        <x:v>Eligible for KP screening</x:v>
      </x:c>
      <x:c r="M24" s="13" t="str">
        <x:v>Proceed to barangay conciliation / mediation screening</x:v>
      </x:c>
      <x:c r="N24" s="13" t="str">
        <x:v>Civil money/property return or small-contract dispute suitable for barangay conciliation if parties meet KP requirements.</x:v>
      </x:c>
      <x:c r="O24" s="13" t="str">
        <x:v>P70,000</x:v>
      </x:c>
      <x:c r="P24" s="13" t="str">
        <x:v>Kumuha ng gamit ng walang pahintulot</x:v>
      </x:c>
      <x:c r="Q24" s="13" t="str"/>
      <x:c r="R24" s="13" t="str">
        <x:v>KP CASE PSWT - Sheet1 - KP CASE PSWT - Sheet1.pdf</x:v>
      </x:c>
    </x:row>
    <x:row r="25" ht="36" customHeight="1">
      <x:c r="A25" s="13" t="str">
        <x:v>KP-25-060-PSWT</x:v>
      </x:c>
      <x:c r="B25" s="13" t="str">
        <x:v>debt</x:v>
      </x:c>
      <x:c r="C25" s="13" t="str">
        <x:v>Real PDF</x:v>
      </x:c>
      <x:c r="D25" s="13" t="str">
        <x:v>KP-25-060-PSWT</x:v>
      </x:c>
      <x:c r="E25" s="13" t="str">
        <x:v>Civil</x:v>
      </x:c>
      <x:c r="F25" s="13" t="str">
        <x:v>Hindi pagbabayad sa utang</x:v>
      </x:c>
      <x:c r="G25" s="13" t="str">
        <x:v>July 15, 2025</x:v>
      </x:c>
      <x:c r="H25" s="13" t="str">
        <x:v>August 4, 2025</x:v>
      </x:c>
      <x:c r="I25" s="13" t="str">
        <x:v>Nagkasundo na maghuhulog ang ipinagsumbong tuwing ika-20 at ika-5 ng buwan. Ang usapin ay tinatapos na.</x:v>
      </x:c>
      <x:c r="J25" s="13" t="str">
        <x:v>Settled</x:v>
      </x:c>
      <x:c r="K25" s="13" t="str">
        <x:v>KP_COVERED_AMICABLE</x:v>
      </x:c>
      <x:c r="L25" s="13" t="str">
        <x:v>Eligible for KP screening</x:v>
      </x:c>
      <x:c r="M25" s="13" t="str">
        <x:v>Proceed to barangay conciliation / mediation screening</x:v>
      </x:c>
      <x:c r="N25" s="13" t="str">
        <x:v>Civil money/property return or small-contract dispute suitable for barangay conciliation if parties meet KP requirements.</x:v>
      </x:c>
      <x:c r="O25" s="13" t="str"/>
      <x:c r="P25" s="13" t="str">
        <x:v>Hindi pagbabayad sa utang</x:v>
      </x:c>
      <x:c r="Q25" s="13" t="str"/>
      <x:c r="R25" s="13" t="str">
        <x:v>KP CASE PSWT - Sheet1 - KP CASE PSWT - Sheet1.pdf</x:v>
      </x:c>
    </x:row>
    <x:row r="26" ht="36" customHeight="1">
      <x:c r="A26" s="13" t="str">
        <x:v>KP-25-062-PSWT</x:v>
      </x:c>
      <x:c r="B26" s="13" t="str">
        <x:v>debt</x:v>
      </x:c>
      <x:c r="C26" s="13" t="str">
        <x:v>Real PDF</x:v>
      </x:c>
      <x:c r="D26" s="13" t="str">
        <x:v>KP-25-062-PSWT</x:v>
      </x:c>
      <x:c r="E26" s="13" t="str">
        <x:v>Civil</x:v>
      </x:c>
      <x:c r="F26" s="13" t="str">
        <x:v>Hindi pagbayayad ng utang</x:v>
      </x:c>
      <x:c r="G26" s="13" t="str">
        <x:v>July 22, 2025</x:v>
      </x:c>
      <x:c r="H26" s="13" t="str">
        <x:v>July 29, 2025</x:v>
      </x:c>
      <x:c r="I26" s="13" t="str">
        <x:v>Nagkaroon ng pagkakasundo nangako ang ipinnagsumbong na ibibigay niya ang utang na P2,100 sa maysumbong sa August 3 2025.</x:v>
      </x:c>
      <x:c r="J26" s="13" t="str">
        <x:v>Settled</x:v>
      </x:c>
      <x:c r="K26" s="13" t="str">
        <x:v>KP_COVERED_AMICABLE</x:v>
      </x:c>
      <x:c r="L26" s="13" t="str">
        <x:v>Eligible for KP screening</x:v>
      </x:c>
      <x:c r="M26" s="13" t="str">
        <x:v>Proceed to barangay conciliation / mediation screening</x:v>
      </x:c>
      <x:c r="N26" s="13" t="str">
        <x:v>Civil money/property return or small-contract dispute suitable for barangay conciliation if parties meet KP requirements.</x:v>
      </x:c>
      <x:c r="O26" s="13" t="str">
        <x:v>P2,100</x:v>
      </x:c>
      <x:c r="P26" s="13" t="str">
        <x:v>Hindi pagbayayad ng utang</x:v>
      </x:c>
      <x:c r="Q26" s="13" t="str"/>
      <x:c r="R26" s="13" t="str">
        <x:v>KP CASE PSWT - Sheet1 - KP CASE PSWT - Sheet1.pdf</x:v>
      </x:c>
    </x:row>
    <x:row r="27" ht="36" customHeight="1">
      <x:c r="A27" s="13" t="str">
        <x:v>KP-25-064-PSWT</x:v>
      </x:c>
      <x:c r="B27" s="13" t="str">
        <x:v>debt</x:v>
      </x:c>
      <x:c r="C27" s="13" t="str">
        <x:v>Real PDF</x:v>
      </x:c>
      <x:c r="D27" s="13" t="str">
        <x:v>KP-25-064-PSWT</x:v>
      </x:c>
      <x:c r="E27" s="13" t="str">
        <x:v>Civil</x:v>
      </x:c>
      <x:c r="F27" s="13" t="str">
        <x:v>Pag-abandona sa trabaho</x:v>
      </x:c>
      <x:c r="G27" s="13" t="str">
        <x:v>July 30, 2025</x:v>
      </x:c>
      <x:c r="H27" s="13" t="str">
        <x:v>August 8, 2025</x:v>
      </x:c>
      <x:c r="I27" s="13" t="str">
        <x:v>Nagkasundo at nangako ang ipinagsumbong na huhulugan ang utang na P3,200. Magbibigay ng P500 linggo- linggo hanggang matapos ang halaga. Nakatupad ang ipinagsumbong.</x:v>
      </x:c>
      <x:c r="J27" s="13" t="str">
        <x:v>Settled</x:v>
      </x:c>
      <x:c r="K27" s="13" t="str">
        <x:v>KP_COVERED_AMICABLE</x:v>
      </x:c>
      <x:c r="L27" s="13" t="str">
        <x:v>Eligible for KP screening</x:v>
      </x:c>
      <x:c r="M27" s="13" t="str">
        <x:v>Proceed to barangay conciliation / mediation screening</x:v>
      </x:c>
      <x:c r="N27" s="13" t="str">
        <x:v>Civil money/property return or small-contract dispute suitable for barangay conciliation if parties meet KP requirements.</x:v>
      </x:c>
      <x:c r="O27" s="13" t="str">
        <x:v>P3,200; P500</x:v>
      </x:c>
      <x:c r="P27" s="13" t="str">
        <x:v>Pag-abandona sa trabaho</x:v>
      </x:c>
      <x:c r="Q27" s="13" t="str"/>
      <x:c r="R27" s="13" t="str">
        <x:v>KP CASE PSWT - Sheet1 - KP CASE PSWT - Sheet1.pdf</x:v>
      </x:c>
    </x:row>
    <x:row r="28" ht="36" customHeight="1">
      <x:c r="A28" s="13" t="str">
        <x:v>KP-25-066-PSWT</x:v>
      </x:c>
      <x:c r="B28" s="13" t="str">
        <x:v>debt</x:v>
      </x:c>
      <x:c r="C28" s="13" t="str">
        <x:v>Real PDF</x:v>
      </x:c>
      <x:c r="D28" s="13" t="str">
        <x:v>KP-25-066-PSWT</x:v>
      </x:c>
      <x:c r="E28" s="13" t="str">
        <x:v>Civil</x:v>
      </x:c>
      <x:c r="F28" s="13" t="str">
        <x:v>Paglilinaw sa pinagawang motor</x:v>
      </x:c>
      <x:c r="G28" s="13" t="str">
        <x:v>August 6, 2025</x:v>
      </x:c>
      <x:c r="H28" s="13" t="str">
        <x:v>-</x:v>
      </x:c>
      <x:c r="I28" s="13" t="str">
        <x:v>Hindi dumadating ang ipinagsumbong kaya't ang maysumbong ay may karapatan ng maghain ng kaukulang reklamo sa kinauukulang tanggapan.</x:v>
      </x:c>
      <x:c r="J28" s="13" t="str">
        <x:v>Endorsed</x:v>
      </x:c>
      <x:c r="K28" s="13" t="str">
        <x:v>KP_COVERED_AMICABLE</x:v>
      </x:c>
      <x:c r="L28" s="13" t="str">
        <x:v>Eligible for KP screening</x:v>
      </x:c>
      <x:c r="M28" s="13" t="str">
        <x:v>Proceed to barangay conciliation / mediation screening</x:v>
      </x:c>
      <x:c r="N28" s="13" t="str">
        <x:v>Civil money/property return or small-contract dispute suitable for barangay conciliation if parties meet KP requirements.</x:v>
      </x:c>
      <x:c r="O28" s="13" t="str"/>
      <x:c r="P28" s="13" t="str">
        <x:v>Paglilinaw sa pinagawang motor</x:v>
      </x:c>
      <x:c r="Q28" s="13" t="str"/>
      <x:c r="R28" s="13" t="str">
        <x:v>KP CASE PSWT - Sheet1 - KP CASE PSWT - Sheet1.pdf</x:v>
      </x:c>
    </x:row>
    <x:row r="29" ht="36" customHeight="1">
      <x:c r="A29" s="13" t="str">
        <x:v>KP-25-067-PSWT</x:v>
      </x:c>
      <x:c r="B29" s="13" t="str">
        <x:v>debt</x:v>
      </x:c>
      <x:c r="C29" s="13" t="str">
        <x:v>Real PDF</x:v>
      </x:c>
      <x:c r="D29" s="13" t="str">
        <x:v>KP-25-067-PSWT</x:v>
      </x:c>
      <x:c r="E29" s="13" t="str">
        <x:v>Civil</x:v>
      </x:c>
      <x:c r="F29" s="13" t="str">
        <x:v>Hindi pagbabayad sa utang</x:v>
      </x:c>
      <x:c r="G29" s="13" t="str">
        <x:v>August 7, 2025</x:v>
      </x:c>
      <x:c r="H29" s="13" t="str">
        <x:v>August 12, 2025</x:v>
      </x:c>
      <x:c r="I29" s="13" t="str">
        <x:v>Nagkaroon ng pagkakasundo at nangako ang ipinagsumbong na magbibigay ng P2,500 para sa bigas na nakuha at maghuhulog ng P1,000 linggo-linggo hanggang matapos ang P8,500.</x:v>
      </x:c>
      <x:c r="J29" s="13" t="str">
        <x:v>Settled</x:v>
      </x:c>
      <x:c r="K29" s="13" t="str">
        <x:v>KP_COVERED_AMICABLE</x:v>
      </x:c>
      <x:c r="L29" s="13" t="str">
        <x:v>Eligible for KP screening</x:v>
      </x:c>
      <x:c r="M29" s="13" t="str">
        <x:v>Proceed to barangay conciliation / mediation screening</x:v>
      </x:c>
      <x:c r="N29" s="13" t="str">
        <x:v>Civil money/property return or small-contract dispute suitable for barangay conciliation if parties meet KP requirements.</x:v>
      </x:c>
      <x:c r="O29" s="13" t="str">
        <x:v>P2,500; P1,000; P8,500</x:v>
      </x:c>
      <x:c r="P29" s="13" t="str">
        <x:v>Hindi pagbabayad sa utang</x:v>
      </x:c>
      <x:c r="Q29" s="13" t="str"/>
      <x:c r="R29" s="13" t="str">
        <x:v>KP CASE PSWT - Sheet1 - KP CASE PSWT - Sheet1.pdf</x:v>
      </x:c>
    </x:row>
    <x:row r="30" ht="36" customHeight="1">
      <x:c r="A30" s="13" t="str">
        <x:v>KP-25-068-PSWT</x:v>
      </x:c>
      <x:c r="B30" s="13" t="str">
        <x:v>debt</x:v>
      </x:c>
      <x:c r="C30" s="13" t="str">
        <x:v>Real PDF</x:v>
      </x:c>
      <x:c r="D30" s="13" t="str">
        <x:v>KP-25-068-PSWT</x:v>
      </x:c>
      <x:c r="E30" s="13" t="str">
        <x:v>Civil</x:v>
      </x:c>
      <x:c r="F30" s="13" t="str">
        <x:v>Paglilinaw sa order na kahoy</x:v>
      </x:c>
      <x:c r="G30" s="13" t="str">
        <x:v>August 7, 2025</x:v>
      </x:c>
      <x:c r="H30" s="13" t="str">
        <x:v>-</x:v>
      </x:c>
      <x:c r="I30" s="13" t="str">
        <x:v>Walang pagkakasundo sa dalawang panig kaya't ang maysumbong ay may karapatan ng maghain ng kaukulang reklamo sa kinauukulang tanggapan.</x:v>
      </x:c>
      <x:c r="J30" s="13" t="str">
        <x:v>Endorsed</x:v>
      </x:c>
      <x:c r="K30" s="13" t="str">
        <x:v>KP_COVERED_AMICABLE</x:v>
      </x:c>
      <x:c r="L30" s="13" t="str">
        <x:v>Eligible for KP screening</x:v>
      </x:c>
      <x:c r="M30" s="13" t="str">
        <x:v>Proceed to barangay conciliation / mediation screening</x:v>
      </x:c>
      <x:c r="N30" s="13" t="str">
        <x:v>Civil money/property return or small-contract dispute suitable for barangay conciliation if parties meet KP requirements.</x:v>
      </x:c>
      <x:c r="O30" s="13" t="str"/>
      <x:c r="P30" s="13" t="str">
        <x:v>Paglilinaw sa order na kahoy</x:v>
      </x:c>
      <x:c r="Q30" s="13" t="str"/>
      <x:c r="R30" s="13" t="str">
        <x:v>KP CASE PSWT - Sheet1 - KP CASE PSWT - Sheet1.pdf</x:v>
      </x:c>
    </x:row>
    <x:row r="31" ht="36" customHeight="1">
      <x:c r="A31" s="13" t="str">
        <x:v>KP-25-069-PSWT</x:v>
      </x:c>
      <x:c r="B31" s="13" t="str">
        <x:v>debt</x:v>
      </x:c>
      <x:c r="C31" s="13" t="str">
        <x:v>Real PDF</x:v>
      </x:c>
      <x:c r="D31" s="13" t="str">
        <x:v>KP-25-069-PSWT</x:v>
      </x:c>
      <x:c r="E31" s="13" t="str">
        <x:v>Criminal</x:v>
      </x:c>
      <x:c r="F31" s="13" t="str">
        <x:v>Paninirang puri gamit FAceBook</x:v>
      </x:c>
      <x:c r="G31" s="13" t="str">
        <x:v>August 8, 2025</x:v>
      </x:c>
      <x:c r="H31" s="13" t="str">
        <x:v>August 22, 2025</x:v>
      </x:c>
      <x:c r="I31" s="13" t="str">
        <x:v>Nagkalinawan ang dalawang panig, iiwasan ang magparinigan at walang pakialamanan.</x:v>
      </x:c>
      <x:c r="J31" s="13" t="str">
        <x:v>Settled</x:v>
      </x:c>
      <x:c r="K31" s="13" t="str">
        <x:v>KP_COVERED_AMICABLE</x:v>
      </x:c>
      <x:c r="L31" s="13" t="str">
        <x:v>Eligible for KP screening</x:v>
      </x:c>
      <x:c r="M31" s="13" t="str">
        <x:v>Proceed to barangay conciliation / mediation screening</x:v>
      </x:c>
      <x:c r="N31" s="13" t="str">
        <x:v>Civil money/property return or small-contract dispute suitable for barangay conciliation if parties meet KP requirements.</x:v>
      </x:c>
      <x:c r="O31" s="13" t="str"/>
      <x:c r="P31" s="13" t="str">
        <x:v>Paninirang puri gamit FAceBook</x:v>
      </x:c>
      <x:c r="Q31" s="13" t="str"/>
      <x:c r="R31" s="13" t="str">
        <x:v>KP CASE PSWT - Sheet1 - KP CASE PSWT - Sheet1.pdf</x:v>
      </x:c>
    </x:row>
    <x:row r="32" ht="36" customHeight="1">
      <x:c r="A32" s="13" t="str">
        <x:v>KP-25-077-PSWT</x:v>
      </x:c>
      <x:c r="B32" s="13" t="str">
        <x:v>debt</x:v>
      </x:c>
      <x:c r="C32" s="13" t="str">
        <x:v>Real PDF</x:v>
      </x:c>
      <x:c r="D32" s="13" t="str">
        <x:v>KP-25-077-PSWT</x:v>
      </x:c>
      <x:c r="E32" s="13" t="str">
        <x:v>Civil</x:v>
      </x:c>
      <x:c r="F32" s="13" t="str">
        <x:v>Hindi pagbabayad sa utang</x:v>
      </x:c>
      <x:c r="G32" s="13" t="str">
        <x:v>August 20, 2025</x:v>
      </x:c>
      <x:c r="H32" s="13" t="str">
        <x:v>-</x:v>
      </x:c>
      <x:c r="I32" s="13" t="str">
        <x:v>Walang pagkakasundo sa dalawang panig kaya't ang maysumbong ay may karapatan ng maghain ng kaukulang reklamo sa kinauukulang tanggapan.</x:v>
      </x:c>
      <x:c r="J32" s="13" t="str">
        <x:v>Endorsed</x:v>
      </x:c>
      <x:c r="K32" s="13" t="str">
        <x:v>KP_COVERED_AMICABLE</x:v>
      </x:c>
      <x:c r="L32" s="13" t="str">
        <x:v>Eligible for KP screening</x:v>
      </x:c>
      <x:c r="M32" s="13" t="str">
        <x:v>Proceed to barangay conciliation / mediation screening</x:v>
      </x:c>
      <x:c r="N32" s="13" t="str">
        <x:v>Civil money/property return or small-contract dispute suitable for barangay conciliation if parties meet KP requirements.</x:v>
      </x:c>
      <x:c r="O32" s="13" t="str"/>
      <x:c r="P32" s="13" t="str">
        <x:v>Hindi pagbabayad sa utang</x:v>
      </x:c>
      <x:c r="Q32" s="13" t="str"/>
      <x:c r="R32" s="13" t="str">
        <x:v>KP CASE PSWT - Sheet1 - KP CASE PSWT - Sheet1.pdf</x:v>
      </x:c>
    </x:row>
    <x:row r="33" ht="36" customHeight="1">
      <x:c r="A33" s="13" t="str">
        <x:v>KP-25-079-PSWT</x:v>
      </x:c>
      <x:c r="B33" s="13" t="str">
        <x:v>debt</x:v>
      </x:c>
      <x:c r="C33" s="13" t="str">
        <x:v>Real PDF</x:v>
      </x:c>
      <x:c r="D33" s="13" t="str">
        <x:v>KP-25-079-PSWT</x:v>
      </x:c>
      <x:c r="E33" s="13" t="str">
        <x:v>Civil</x:v>
      </x:c>
      <x:c r="F33" s="13" t="str">
        <x:v>Paglilinaw sa utang</x:v>
      </x:c>
      <x:c r="G33" s="13" t="str">
        <x:v>September 1, 2025</x:v>
      </x:c>
      <x:c r="H33" s="13" t="str">
        <x:v>-</x:v>
      </x:c>
      <x:c r="I33" s="13" t="str">
        <x:v>Walang pagkakasundo sa dalawang panig kaya't ang maysumbong ay may karapatan ng maghain ng kaukulang reklamo sa kinauukulang tanggapan.</x:v>
      </x:c>
      <x:c r="J33" s="13" t="str">
        <x:v>Endorsed</x:v>
      </x:c>
      <x:c r="K33" s="13" t="str">
        <x:v>KP_COVERED_AMICABLE</x:v>
      </x:c>
      <x:c r="L33" s="13" t="str">
        <x:v>Eligible for KP screening</x:v>
      </x:c>
      <x:c r="M33" s="13" t="str">
        <x:v>Proceed to barangay conciliation / mediation screening</x:v>
      </x:c>
      <x:c r="N33" s="13" t="str">
        <x:v>Civil money/property return or small-contract dispute suitable for barangay conciliation if parties meet KP requirements.</x:v>
      </x:c>
      <x:c r="O33" s="13" t="str"/>
      <x:c r="P33" s="13" t="str">
        <x:v>Paglilinaw sa utang</x:v>
      </x:c>
      <x:c r="Q33" s="13" t="str"/>
      <x:c r="R33" s="13" t="str">
        <x:v>KP CASE PSWT - Sheet1 - KP CASE PSWT - Sheet1.pdf</x:v>
      </x:c>
    </x:row>
    <x:row r="34" ht="36" customHeight="1">
      <x:c r="A34" s="13" t="str">
        <x:v>KP-25-081-PSWT</x:v>
      </x:c>
      <x:c r="B34" s="13" t="str">
        <x:v>debt</x:v>
      </x:c>
      <x:c r="C34" s="13" t="str">
        <x:v>Real PDF</x:v>
      </x:c>
      <x:c r="D34" s="13" t="str">
        <x:v>KP-25-081-PSWT</x:v>
      </x:c>
      <x:c r="E34" s="13" t="str">
        <x:v>Civil</x:v>
      </x:c>
      <x:c r="F34" s="13" t="str">
        <x:v>Paglilinaw sa inutang na pera at pinagawang jeep</x:v>
      </x:c>
      <x:c r="G34" s="13" t="str">
        <x:v>September 12, 2025</x:v>
      </x:c>
      <x:c r="H34" s="13" t="str">
        <x:v>October 3, 2025</x:v>
      </x:c>
      <x:c r="I34" s="13" t="str">
        <x:v>Ang usapin ay tinatapos na nagbayad ang ipinagsumbiong ng P5,000 sa maysumbong.</x:v>
      </x:c>
      <x:c r="J34" s="13" t="str">
        <x:v>Settled</x:v>
      </x:c>
      <x:c r="K34" s="13" t="str">
        <x:v>KP_COVERED_AMICABLE</x:v>
      </x:c>
      <x:c r="L34" s="13" t="str">
        <x:v>Eligible for KP screening</x:v>
      </x:c>
      <x:c r="M34" s="13" t="str">
        <x:v>Proceed to barangay conciliation / mediation screening</x:v>
      </x:c>
      <x:c r="N34" s="13" t="str">
        <x:v>Civil money/property return or small-contract dispute suitable for barangay conciliation if parties meet KP requirements.</x:v>
      </x:c>
      <x:c r="O34" s="13" t="str">
        <x:v>P5,000</x:v>
      </x:c>
      <x:c r="P34" s="13" t="str">
        <x:v>Paglilinaw sa inutang na pera at pinagawang jeep</x:v>
      </x:c>
      <x:c r="Q34" s="13" t="str"/>
      <x:c r="R34" s="13" t="str">
        <x:v>KP CASE PSWT - Sheet1 - KP CASE PSWT - Sheet1.pdf</x:v>
      </x:c>
    </x:row>
    <x:row r="35" ht="36" customHeight="1">
      <x:c r="A35" s="13" t="str">
        <x:v>KP-25-082-PSWT</x:v>
      </x:c>
      <x:c r="B35" s="13" t="str">
        <x:v>debt</x:v>
      </x:c>
      <x:c r="C35" s="13" t="str">
        <x:v>Real PDF</x:v>
      </x:c>
      <x:c r="D35" s="13" t="str">
        <x:v>KP-25-082-PSWT</x:v>
      </x:c>
      <x:c r="E35" s="13" t="str">
        <x:v>Civil</x:v>
      </x:c>
      <x:c r="F35" s="13" t="str">
        <x:v>Paglilinaw sa pinagawang kuntador ng Meralco</x:v>
      </x:c>
      <x:c r="G35" s="13" t="str">
        <x:v>September 18, 2025</x:v>
      </x:c>
      <x:c r="H35" s="13" t="str">
        <x:v>-</x:v>
      </x:c>
      <x:c r="I35" s="13" t="str">
        <x:v>Ang ipinagsumbong ay hindi nadating sa araw ng paghaharap kaya't ang maysumbong ay may karapatan ng maghain ng kaukulang reklamo sa kinauukulang tanggapan.</x:v>
      </x:c>
      <x:c r="J35" s="13" t="str">
        <x:v>Endorsed</x:v>
      </x:c>
      <x:c r="K35" s="13" t="str">
        <x:v>KP_COVERED_AMICABLE</x:v>
      </x:c>
      <x:c r="L35" s="13" t="str">
        <x:v>Eligible for KP screening</x:v>
      </x:c>
      <x:c r="M35" s="13" t="str">
        <x:v>Proceed to barangay conciliation / mediation screening</x:v>
      </x:c>
      <x:c r="N35" s="13" t="str">
        <x:v>Civil money/property return or small-contract dispute suitable for barangay conciliation if parties meet KP requirements.</x:v>
      </x:c>
      <x:c r="O35" s="13" t="str"/>
      <x:c r="P35" s="13" t="str">
        <x:v>Paglilinaw sa pinagawang kuntador ng Meralco</x:v>
      </x:c>
      <x:c r="Q35" s="13" t="str"/>
      <x:c r="R35" s="13" t="str">
        <x:v>KP CASE PSWT - Sheet1 - KP CASE PSWT - Sheet1.pdf</x:v>
      </x:c>
    </x:row>
    <x:row r="36" ht="36" customHeight="1">
      <x:c r="A36" s="13" t="str">
        <x:v>KP-25-084-PSWT</x:v>
      </x:c>
      <x:c r="B36" s="13" t="str">
        <x:v>debt</x:v>
      </x:c>
      <x:c r="C36" s="13" t="str">
        <x:v>Real PDF</x:v>
      </x:c>
      <x:c r="D36" s="13" t="str">
        <x:v>KP-25-084-PSWT</x:v>
      </x:c>
      <x:c r="E36" s="13" t="str">
        <x:v>Civil</x:v>
      </x:c>
      <x:c r="F36" s="13" t="str">
        <x:v>Hindi pagbabayad sa utang</x:v>
      </x:c>
      <x:c r="G36" s="13" t="str">
        <x:v>September 22, 2025</x:v>
      </x:c>
      <x:c r="H36" s="13" t="str">
        <x:v>October 3, 2025</x:v>
      </x:c>
      <x:c r="I36" s="13" t="str">
        <x:v>Nagkaroon ng pagkakasundo at nangako ang ipinagsumbong na maghuhulog siya ng P300 para sa maysumbong. Magsisismula sa October 5, 2025.</x:v>
      </x:c>
      <x:c r="J36" s="13" t="str">
        <x:v>Settled</x:v>
      </x:c>
      <x:c r="K36" s="13" t="str">
        <x:v>KP_COVERED_AMICABLE</x:v>
      </x:c>
      <x:c r="L36" s="13" t="str">
        <x:v>Eligible for KP screening</x:v>
      </x:c>
      <x:c r="M36" s="13" t="str">
        <x:v>Proceed to barangay conciliation / mediation screening</x:v>
      </x:c>
      <x:c r="N36" s="13" t="str">
        <x:v>Civil money/property return or small-contract dispute suitable for barangay conciliation if parties meet KP requirements.</x:v>
      </x:c>
      <x:c r="O36" s="13" t="str">
        <x:v>P300</x:v>
      </x:c>
      <x:c r="P36" s="13" t="str">
        <x:v>Hindi pagbabayad sa utang</x:v>
      </x:c>
      <x:c r="Q36" s="13" t="str"/>
      <x:c r="R36" s="13" t="str">
        <x:v>KP CASE PSWT - Sheet1 - KP CASE PSWT - Sheet1.pdf</x:v>
      </x:c>
    </x:row>
    <x:row r="37" ht="36" customHeight="1">
      <x:c r="A37" s="13" t="str">
        <x:v>KP-25-087-PSWT</x:v>
      </x:c>
      <x:c r="B37" s="13" t="str">
        <x:v>debt</x:v>
      </x:c>
      <x:c r="C37" s="13" t="str">
        <x:v>Real PDF</x:v>
      </x:c>
      <x:c r="D37" s="13" t="str">
        <x:v>KP-25-087-PSWT</x:v>
      </x:c>
      <x:c r="E37" s="13" t="str">
        <x:v>Civil</x:v>
      </x:c>
      <x:c r="F37" s="13" t="str">
        <x:v>Hindi pagbabayad sa utang</x:v>
      </x:c>
      <x:c r="G37" s="13" t="str">
        <x:v>October 9, 2025</x:v>
      </x:c>
      <x:c r="H37" s="13" t="str">
        <x:v>October 16, 2025</x:v>
      </x:c>
      <x:c r="I37" s="13" t="str">
        <x:v>Ipaparating ng maysumbong sa boss niya na ang kakayahan ng ipinagsumbong na ang hulog ay P500 tuwing ika-5 at ika-20 ng buwan hanggang matapos ang halagang P4,000. Nagsasbai sa barangay ang maysumbong na pumayag ang boss ng maysumbong sa kakayahan ng ipinagsumbong.</x:v>
      </x:c>
      <x:c r="J37" s="13" t="str">
        <x:v>Settled</x:v>
      </x:c>
      <x:c r="K37" s="13" t="str">
        <x:v>KP_COVERED_AMICABLE</x:v>
      </x:c>
      <x:c r="L37" s="13" t="str">
        <x:v>Eligible for KP screening</x:v>
      </x:c>
      <x:c r="M37" s="13" t="str">
        <x:v>Proceed to barangay conciliation / mediation screening</x:v>
      </x:c>
      <x:c r="N37" s="13" t="str">
        <x:v>Civil money/property return or small-contract dispute suitable for barangay conciliation if parties meet KP requirements.</x:v>
      </x:c>
      <x:c r="O37" s="13" t="str">
        <x:v>P500; P4,000</x:v>
      </x:c>
      <x:c r="P37" s="13" t="str">
        <x:v>Hindi pagbabayad sa utang</x:v>
      </x:c>
      <x:c r="Q37" s="13" t="str"/>
      <x:c r="R37" s="13" t="str">
        <x:v>KP CASE PSWT - Sheet1 - KP CASE PSWT - Sheet1.pdf</x:v>
      </x:c>
    </x:row>
    <x:row r="38" ht="36" customHeight="1">
      <x:c r="A38" s="13" t="str">
        <x:v>KP-25-089-PSWT</x:v>
      </x:c>
      <x:c r="B38" s="13" t="str">
        <x:v>debt</x:v>
      </x:c>
      <x:c r="C38" s="13" t="str">
        <x:v>Real PDF</x:v>
      </x:c>
      <x:c r="D38" s="13" t="str">
        <x:v>KP-25-089-PSWT</x:v>
      </x:c>
      <x:c r="E38" s="13" t="str">
        <x:v>Civil</x:v>
      </x:c>
      <x:c r="F38" s="13" t="str">
        <x:v>Paglilinaw sa utang</x:v>
      </x:c>
      <x:c r="G38" s="13" t="str">
        <x:v>October 9, 2025</x:v>
      </x:c>
      <x:c r="H38" s="13" t="str">
        <x:v>October 21, 2025</x:v>
      </x:c>
      <x:c r="I38" s="13" t="str">
        <x:v>Nagkaroon ng pagkakasundo at nangako ang ipinagsumbong na magbibigay ng P300 tuwing Miyerkules at P400 tuwing Lunes.</x:v>
      </x:c>
      <x:c r="J38" s="13" t="str">
        <x:v>Settled</x:v>
      </x:c>
      <x:c r="K38" s="13" t="str">
        <x:v>KP_COVERED_AMICABLE</x:v>
      </x:c>
      <x:c r="L38" s="13" t="str">
        <x:v>Eligible for KP screening</x:v>
      </x:c>
      <x:c r="M38" s="13" t="str">
        <x:v>Proceed to barangay conciliation / mediation screening</x:v>
      </x:c>
      <x:c r="N38" s="13" t="str">
        <x:v>Civil money/property return or small-contract dispute suitable for barangay conciliation if parties meet KP requirements.</x:v>
      </x:c>
      <x:c r="O38" s="13" t="str">
        <x:v>P300; P400</x:v>
      </x:c>
      <x:c r="P38" s="13" t="str">
        <x:v>Paglilinaw sa utang</x:v>
      </x:c>
      <x:c r="Q38" s="13" t="str"/>
      <x:c r="R38" s="13" t="str">
        <x:v>KP CASE PSWT - Sheet1 - KP CASE PSWT - Sheet1.pdf</x:v>
      </x:c>
    </x:row>
    <x:row r="39" ht="36" customHeight="1">
      <x:c r="A39" s="13" t="str">
        <x:v>KP-25-090-PSWT</x:v>
      </x:c>
      <x:c r="B39" s="13" t="str">
        <x:v>debt</x:v>
      </x:c>
      <x:c r="C39" s="13" t="str">
        <x:v>Real PDF</x:v>
      </x:c>
      <x:c r="D39" s="13" t="str">
        <x:v>KP-25-090-PSWT</x:v>
      </x:c>
      <x:c r="E39" s="13" t="str">
        <x:v>Civil</x:v>
      </x:c>
      <x:c r="F39" s="13" t="str">
        <x:v>Hindi pagbabayad sa utang</x:v>
      </x:c>
      <x:c r="G39" s="13" t="str">
        <x:v>October 10, 2025</x:v>
      </x:c>
      <x:c r="H39" s="13" t="str">
        <x:v>October 17, 2025</x:v>
      </x:c>
      <x:c r="I39" s="13" t="str">
        <x:v>Nagkasundo at nangako ang ipinagsumbong na maghuhulog ng P500 tuwing ika-15 at ika-30 ng buwan. Pakiusap na sana ay tuloy-tuloy na at kapag hindi nakakatupad kukuha ang maysumbong ng endorsement.</x:v>
      </x:c>
      <x:c r="J39" s="13" t="str">
        <x:v>Settled</x:v>
      </x:c>
      <x:c r="K39" s="13" t="str">
        <x:v>KP_COVERED_AMICABLE</x:v>
      </x:c>
      <x:c r="L39" s="13" t="str">
        <x:v>Eligible for KP screening</x:v>
      </x:c>
      <x:c r="M39" s="13" t="str">
        <x:v>Proceed to barangay conciliation / mediation screening</x:v>
      </x:c>
      <x:c r="N39" s="13" t="str">
        <x:v>Civil money/property return or small-contract dispute suitable for barangay conciliation if parties meet KP requirements.</x:v>
      </x:c>
      <x:c r="O39" s="13" t="str">
        <x:v>P500</x:v>
      </x:c>
      <x:c r="P39" s="13" t="str">
        <x:v>Hindi pagbabayad sa utang</x:v>
      </x:c>
      <x:c r="Q39" s="13" t="str"/>
      <x:c r="R39" s="13" t="str">
        <x:v>KP CASE PSWT - Sheet1 - KP CASE PSWT - Sheet1.pdf</x:v>
      </x:c>
    </x:row>
    <x:row r="40" ht="36" customHeight="1">
      <x:c r="A40" s="13" t="str">
        <x:v>KP-25-092-PSWT</x:v>
      </x:c>
      <x:c r="B40" s="13" t="str">
        <x:v>debt</x:v>
      </x:c>
      <x:c r="C40" s="13" t="str">
        <x:v>Real PDF</x:v>
      </x:c>
      <x:c r="D40" s="13" t="str">
        <x:v>KP-25-092-PSWT</x:v>
      </x:c>
      <x:c r="E40" s="13" t="str">
        <x:v>Civil</x:v>
      </x:c>
      <x:c r="F40" s="13" t="str">
        <x:v>Paglilinaw sa mga nakuhang pera</x:v>
      </x:c>
      <x:c r="G40" s="13" t="str">
        <x:v>October 15, 2025</x:v>
      </x:c>
      <x:c r="H40" s="13" t="str">
        <x:v>November 5, 2025</x:v>
      </x:c>
      <x:c r="I40" s="13" t="str">
        <x:v>Nagkaroon ng pagkakaunawaan na magbibigay ang ipinagsumbong ng P3,000 buwan-buwan. Magsisimula sa November, 2025.</x:v>
      </x:c>
      <x:c r="J40" s="13" t="str">
        <x:v>Settled</x:v>
      </x:c>
      <x:c r="K40" s="13" t="str">
        <x:v>KP_COVERED_AMICABLE</x:v>
      </x:c>
      <x:c r="L40" s="13" t="str">
        <x:v>Eligible for KP screening</x:v>
      </x:c>
      <x:c r="M40" s="13" t="str">
        <x:v>Proceed to barangay conciliation / mediation screening</x:v>
      </x:c>
      <x:c r="N40" s="13" t="str">
        <x:v>Civil money/property return or small-contract dispute suitable for barangay conciliation if parties meet KP requirements.</x:v>
      </x:c>
      <x:c r="O40" s="13" t="str">
        <x:v>P3,000</x:v>
      </x:c>
      <x:c r="P40" s="13" t="str">
        <x:v>Paglilinaw sa mga nakuhang pera</x:v>
      </x:c>
      <x:c r="Q40" s="13" t="str"/>
      <x:c r="R40" s="13" t="str">
        <x:v>KP CASE PSWT - Sheet1 - KP CASE PSWT - Sheet1.pdf</x:v>
      </x:c>
    </x:row>
    <x:row r="41" ht="36" customHeight="1">
      <x:c r="A41" s="13" t="str">
        <x:v>KP-25-093-PSWT</x:v>
      </x:c>
      <x:c r="B41" s="13" t="str">
        <x:v>debt</x:v>
      </x:c>
      <x:c r="C41" s="13" t="str">
        <x:v>Real PDF</x:v>
      </x:c>
      <x:c r="D41" s="13" t="str">
        <x:v>KP-25-093-PSWT</x:v>
      </x:c>
      <x:c r="E41" s="13" t="str">
        <x:v>Criminal</x:v>
      </x:c>
      <x:c r="F41" s="13" t="str">
        <x:v>Hindi pagbabayad sa utang</x:v>
      </x:c>
      <x:c r="G41" s="13" t="str">
        <x:v>October 17, 2025</x:v>
      </x:c>
      <x:c r="H41" s="13" t="str">
        <x:v>October 28, 2025</x:v>
      </x:c>
      <x:c r="I41" s="13" t="str">
        <x:v>Nagkasundo at nangako ang ipinagsumbong na magbibigay ng P500 tuwing ika-15 at ikaw-30 ng buwan. Magsisimula sa December, 2025.</x:v>
      </x:c>
      <x:c r="J41" s="13" t="str">
        <x:v>Settled</x:v>
      </x:c>
      <x:c r="K41" s="13" t="str">
        <x:v>KP_COVERED_AMICABLE</x:v>
      </x:c>
      <x:c r="L41" s="13" t="str">
        <x:v>Eligible for KP screening</x:v>
      </x:c>
      <x:c r="M41" s="13" t="str">
        <x:v>Proceed to barangay conciliation / mediation screening</x:v>
      </x:c>
      <x:c r="N41" s="13" t="str">
        <x:v>Civil money/property return or small-contract dispute suitable for barangay conciliation if parties meet KP requirements.</x:v>
      </x:c>
      <x:c r="O41" s="13" t="str">
        <x:v>P500</x:v>
      </x:c>
      <x:c r="P41" s="13" t="str">
        <x:v>Hindi pagbabayad sa utang</x:v>
      </x:c>
      <x:c r="Q41" s="13" t="str"/>
      <x:c r="R41" s="13" t="str">
        <x:v>KP CASE PSWT - Sheet1 - KP CASE PSWT - Sheet1.pdf</x:v>
      </x:c>
    </x:row>
    <x:row r="42" ht="36" customHeight="1">
      <x:c r="A42" s="13" t="str">
        <x:v>KP-25-098-PSWT</x:v>
      </x:c>
      <x:c r="B42" s="13" t="str">
        <x:v>debt</x:v>
      </x:c>
      <x:c r="C42" s="13" t="str">
        <x:v>Real PDF</x:v>
      </x:c>
      <x:c r="D42" s="13" t="str">
        <x:v>KP-25-098-PSWT</x:v>
      </x:c>
      <x:c r="E42" s="13" t="str">
        <x:v>Civil</x:v>
      </x:c>
      <x:c r="F42" s="13" t="str">
        <x:v>Paglilinaw sa utang</x:v>
      </x:c>
      <x:c r="G42" s="13" t="str">
        <x:v>November 4, 2025</x:v>
      </x:c>
      <x:c r="H42" s="13" t="str">
        <x:v>-</x:v>
      </x:c>
      <x:c r="I42" s="13" t="str">
        <x:v>Walang pagkakasundo sa dalawang panig. Nagsabi ang bawat isa na sila ay willing magbyad subalit hindi kaya ang P600 linggo-linggo.</x:v>
      </x:c>
      <x:c r="J42" s="13" t="str">
        <x:v>Pending</x:v>
      </x:c>
      <x:c r="K42" s="13" t="str">
        <x:v>KP_COVERED_AMICABLE</x:v>
      </x:c>
      <x:c r="L42" s="13" t="str">
        <x:v>Eligible for KP screening</x:v>
      </x:c>
      <x:c r="M42" s="13" t="str">
        <x:v>Proceed to barangay conciliation / mediation screening</x:v>
      </x:c>
      <x:c r="N42" s="13" t="str">
        <x:v>Civil money/property return or small-contract dispute suitable for barangay conciliation if parties meet KP requirements.</x:v>
      </x:c>
      <x:c r="O42" s="13" t="str">
        <x:v>P600</x:v>
      </x:c>
      <x:c r="P42" s="13" t="str">
        <x:v>Paglilinaw sa utang</x:v>
      </x:c>
      <x:c r="Q42" s="13" t="str"/>
      <x:c r="R42" s="13" t="str">
        <x:v>KP CASE PSWT - Sheet1 - KP CASE PSWT - Sheet1.pdf</x:v>
      </x:c>
    </x:row>
    <x:row r="43" ht="36" customHeight="1">
      <x:c r="A43" s="13" t="str">
        <x:v>KP-25-099-PSWT</x:v>
      </x:c>
      <x:c r="B43" s="13" t="str">
        <x:v>debt</x:v>
      </x:c>
      <x:c r="C43" s="13" t="str">
        <x:v>Real PDF</x:v>
      </x:c>
      <x:c r="D43" s="13" t="str">
        <x:v>KP-25-099-PSWT</x:v>
      </x:c>
      <x:c r="E43" s="13" t="str">
        <x:v>Civil</x:v>
      </x:c>
      <x:c r="F43" s="13" t="str">
        <x:v>Hindi pagbabayad sa utang</x:v>
      </x:c>
      <x:c r="G43" s="13" t="str">
        <x:v>November 4, 2025</x:v>
      </x:c>
      <x:c r="H43" s="13" t="str">
        <x:v>-</x:v>
      </x:c>
      <x:c r="I43" s="13" t="str">
        <x:v>Nagkaroon ng pagkakaunawaan at nangako ang ipinagsumbong na magbabayad hanggang katapusan ng November, 2025.</x:v>
      </x:c>
      <x:c r="J43" s="13" t="str">
        <x:v>Settled</x:v>
      </x:c>
      <x:c r="K43" s="13" t="str">
        <x:v>KP_COVERED_AMICABLE</x:v>
      </x:c>
      <x:c r="L43" s="13" t="str">
        <x:v>Eligible for KP screening</x:v>
      </x:c>
      <x:c r="M43" s="13" t="str">
        <x:v>Proceed to barangay conciliation / mediation screening</x:v>
      </x:c>
      <x:c r="N43" s="13" t="str">
        <x:v>Civil money/property return or small-contract dispute suitable for barangay conciliation if parties meet KP requirements.</x:v>
      </x:c>
      <x:c r="O43" s="13" t="str"/>
      <x:c r="P43" s="13" t="str">
        <x:v>Hindi pagbabayad sa utang</x:v>
      </x:c>
      <x:c r="Q43" s="13" t="str"/>
      <x:c r="R43" s="13" t="str">
        <x:v>KP CASE PSWT - Sheet1 - KP CASE PSWT - Sheet1.pdf</x:v>
      </x:c>
    </x:row>
    <x:row r="44" ht="36" customHeight="1">
      <x:c r="A44" s="13" t="str">
        <x:v>KP-25-100-PSWT</x:v>
      </x:c>
      <x:c r="B44" s="13" t="str">
        <x:v>debt</x:v>
      </x:c>
      <x:c r="C44" s="13" t="str">
        <x:v>Real PDF</x:v>
      </x:c>
      <x:c r="D44" s="13" t="str">
        <x:v>KP-25-100-PSWT</x:v>
      </x:c>
      <x:c r="E44" s="13" t="str">
        <x:v>Civil</x:v>
      </x:c>
      <x:c r="F44" s="13" t="str">
        <x:v>Hindi pagbabayad sa utang</x:v>
      </x:c>
      <x:c r="G44" s="13" t="str">
        <x:v>November 4, 2025</x:v>
      </x:c>
      <x:c r="H44" s="13" t="str">
        <x:v>November 7, 2025</x:v>
      </x:c>
      <x:c r="I44" s="13" t="str">
        <x:v>Nagkasundo na ang ipinagsumbong ay maghuhulog ng P300 tuwing Linggo para sa may sumbong at P300 para sa isa pang maysumbong tuwing Biyernes. Nagkasundo ang maysumbong at ipinagsumbong na ang utang na P28,800 ay huhulugan ng P600 linggo-linggo tuwing Lunes. Magsisimula ang hulog sa November 10, 2025.</x:v>
      </x:c>
      <x:c r="J44" s="13" t="str">
        <x:v>Settled</x:v>
      </x:c>
      <x:c r="K44" s="13" t="str">
        <x:v>KP_COVERED_AMICABLE</x:v>
      </x:c>
      <x:c r="L44" s="13" t="str">
        <x:v>Eligible for KP screening</x:v>
      </x:c>
      <x:c r="M44" s="13" t="str">
        <x:v>Proceed to barangay conciliation / mediation screening</x:v>
      </x:c>
      <x:c r="N44" s="13" t="str">
        <x:v>Civil money/property return or small-contract dispute suitable for barangay conciliation if parties meet KP requirements.</x:v>
      </x:c>
      <x:c r="O44" s="13" t="str">
        <x:v>P300; P300; P28,800; P600</x:v>
      </x:c>
      <x:c r="P44" s="13" t="str">
        <x:v>Hindi pagbabayad sa utang</x:v>
      </x:c>
      <x:c r="Q44" s="13" t="str"/>
      <x:c r="R44" s="13" t="str">
        <x:v>KP CASE PSWT - Sheet1 - KP CASE PSWT - Sheet1.pdf</x:v>
      </x:c>
    </x:row>
    <x:row r="45" ht="36" customHeight="1">
      <x:c r="A45" s="13" t="str">
        <x:v>KP-25-101-PSWT</x:v>
      </x:c>
      <x:c r="B45" s="13" t="str">
        <x:v>debt</x:v>
      </x:c>
      <x:c r="C45" s="13" t="str">
        <x:v>Real PDF</x:v>
      </x:c>
      <x:c r="D45" s="13" t="str">
        <x:v>KP-25-101-PSWT</x:v>
      </x:c>
      <x:c r="E45" s="13" t="str">
        <x:v>Civil</x:v>
      </x:c>
      <x:c r="F45" s="13" t="str">
        <x:v>Hindi pagbabayad sa upa ng bahay</x:v>
      </x:c>
      <x:c r="G45" s="13" t="str">
        <x:v>November 15, 2025</x:v>
      </x:c>
      <x:c r="H45" s="13" t="str">
        <x:v>-</x:v>
      </x:c>
      <x:c r="I45" s="13" t="str">
        <x:v>Hindi nadating ang ipinagsumbong sa tatlong patawag kaya't ang maysumbong ay may karapatan ng maghain ng kaukulang reklamo sa kinauukulang tanggapan.</x:v>
      </x:c>
      <x:c r="J45" s="13" t="str">
        <x:v>Endorsed</x:v>
      </x:c>
      <x:c r="K45" s="13" t="str">
        <x:v>KP_COVERED_AMICABLE</x:v>
      </x:c>
      <x:c r="L45" s="13" t="str">
        <x:v>Eligible for KP screening</x:v>
      </x:c>
      <x:c r="M45" s="13" t="str">
        <x:v>Proceed to barangay conciliation / mediation screening</x:v>
      </x:c>
      <x:c r="N45" s="13" t="str">
        <x:v>Civil money/property return or small-contract dispute suitable for barangay conciliation if parties meet KP requirements.</x:v>
      </x:c>
      <x:c r="O45" s="13" t="str"/>
      <x:c r="P45" s="13" t="str">
        <x:v>Hindi pagbabayad sa upa ng bahay</x:v>
      </x:c>
      <x:c r="Q45" s="13" t="str"/>
      <x:c r="R45" s="13" t="str">
        <x:v>KP CASE PSWT - Sheet1 - KP CASE PSWT - Sheet1.pdf</x:v>
      </x:c>
    </x:row>
    <x:row r="46" ht="36" customHeight="1">
      <x:c r="A46" s="13" t="str">
        <x:v>KP-25-105-PSWT</x:v>
      </x:c>
      <x:c r="B46" s="13" t="str">
        <x:v>debt</x:v>
      </x:c>
      <x:c r="C46" s="13" t="str">
        <x:v>Real PDF</x:v>
      </x:c>
      <x:c r="D46" s="13" t="str">
        <x:v>KP-25-105-PSWT</x:v>
      </x:c>
      <x:c r="E46" s="13" t="str">
        <x:v>Civil</x:v>
      </x:c>
      <x:c r="F46" s="13" t="str">
        <x:v>Hindi paghuhulog sa utang</x:v>
      </x:c>
      <x:c r="G46" s="13" t="str">
        <x:v>November 19, 2025</x:v>
      </x:c>
      <x:c r="H46" s="13" t="str">
        <x:v>November 26, 2025</x:v>
      </x:c>
      <x:c r="I46" s="13" t="str">
        <x:v>Sila ay nagkasundo na maghuhulog ang ipinagsumbong ng P4,000 buwan-buwan. Magsisimula siya ng November, 2025. Nakapagbigay siya ng P4, 000 sa bahay maysumbong.</x:v>
      </x:c>
      <x:c r="J46" s="13" t="str">
        <x:v>Settled</x:v>
      </x:c>
      <x:c r="K46" s="13" t="str">
        <x:v>KP_COVERED_AMICABLE</x:v>
      </x:c>
      <x:c r="L46" s="13" t="str">
        <x:v>Eligible for KP screening</x:v>
      </x:c>
      <x:c r="M46" s="13" t="str">
        <x:v>Proceed to barangay conciliation / mediation screening</x:v>
      </x:c>
      <x:c r="N46" s="13" t="str">
        <x:v>Civil money/property return or small-contract dispute suitable for barangay conciliation if parties meet KP requirements.</x:v>
      </x:c>
      <x:c r="O46" s="13" t="str">
        <x:v>P4,000; P4,</x:v>
      </x:c>
      <x:c r="P46" s="13" t="str">
        <x:v>Hindi paghuhulog sa utang</x:v>
      </x:c>
      <x:c r="Q46" s="13" t="str"/>
      <x:c r="R46" s="13" t="str">
        <x:v>KP CASE PSWT - Sheet1 - KP CASE PSWT - Sheet1.pdf</x:v>
      </x:c>
    </x:row>
    <x:row r="47" ht="36" customHeight="1">
      <x:c r="A47" s="13" t="str">
        <x:v>KP-25-107-PSWT</x:v>
      </x:c>
      <x:c r="B47" s="13" t="str">
        <x:v>debt</x:v>
      </x:c>
      <x:c r="C47" s="13" t="str">
        <x:v>Real PDF</x:v>
      </x:c>
      <x:c r="D47" s="13" t="str">
        <x:v>KP-25-107-PSWT</x:v>
      </x:c>
      <x:c r="E47" s="13" t="str">
        <x:v>Civil</x:v>
      </x:c>
      <x:c r="F47" s="13" t="str">
        <x:v>Paglilinaw sa isinanlang rehistro ng tricycle</x:v>
      </x:c>
      <x:c r="G47" s="13" t="str">
        <x:v>November 28, 2025</x:v>
      </x:c>
      <x:c r="H47" s="13" t="str">
        <x:v>December 4, 2025</x:v>
      </x:c>
      <x:c r="I47" s="13" t="str">
        <x:v>Nagkaroon ng pagkakasundo at nangako ang ipinagsumbong na magbibigay nng P700 kada dalawang linngo. Mag-uumpisa magbigay sa December 19, 2025.</x:v>
      </x:c>
      <x:c r="J47" s="13" t="str">
        <x:v>Settled</x:v>
      </x:c>
      <x:c r="K47" s="13" t="str">
        <x:v>KP_COVERED_AMICABLE</x:v>
      </x:c>
      <x:c r="L47" s="13" t="str">
        <x:v>Eligible for KP screening</x:v>
      </x:c>
      <x:c r="M47" s="13" t="str">
        <x:v>Proceed to barangay conciliation / mediation screening</x:v>
      </x:c>
      <x:c r="N47" s="13" t="str">
        <x:v>Civil money/property return or small-contract dispute suitable for barangay conciliation if parties meet KP requirements.</x:v>
      </x:c>
      <x:c r="O47" s="13" t="str">
        <x:v>P700</x:v>
      </x:c>
      <x:c r="P47" s="13" t="str">
        <x:v>Paglilinaw sa isinanlang rehistro ng tricycle</x:v>
      </x:c>
      <x:c r="Q47" s="13" t="str"/>
      <x:c r="R47" s="13" t="str">
        <x:v>KP CASE PSWT - Sheet1 - KP CASE PSWT - Sheet1.pdf</x:v>
      </x:c>
    </x:row>
    <x:row r="48" ht="36" customHeight="1">
      <x:c r="A48" s="13" t="str">
        <x:v>KP-25-111-PSWT</x:v>
      </x:c>
      <x:c r="B48" s="13" t="str">
        <x:v>debt</x:v>
      </x:c>
      <x:c r="C48" s="13" t="str">
        <x:v>Real PDF</x:v>
      </x:c>
      <x:c r="D48" s="13" t="str">
        <x:v>KP-25-111-PSWT</x:v>
      </x:c>
      <x:c r="E48" s="13" t="str">
        <x:v>Civil</x:v>
      </x:c>
      <x:c r="F48" s="13" t="str">
        <x:v>Hindi pagbabayad ng utang</x:v>
      </x:c>
      <x:c r="G48" s="13" t="str">
        <x:v>December 10, 2025</x:v>
      </x:c>
      <x:c r="H48" s="13" t="str">
        <x:v>-</x:v>
      </x:c>
      <x:c r="I48" s="13" t="str">
        <x:v>Nagkaroon ng pagkakasundo sa dalawang panig na magbabayad ang ipinagsumbong ng P300 tuwing katapusan hanggang matapos ang halagang P7,000.</x:v>
      </x:c>
      <x:c r="J48" s="13" t="str">
        <x:v>Settled</x:v>
      </x:c>
      <x:c r="K48" s="13" t="str">
        <x:v>KP_COVERED_AMICABLE</x:v>
      </x:c>
      <x:c r="L48" s="13" t="str">
        <x:v>Eligible for KP screening</x:v>
      </x:c>
      <x:c r="M48" s="13" t="str">
        <x:v>Proceed to barangay conciliation / mediation screening</x:v>
      </x:c>
      <x:c r="N48" s="13" t="str">
        <x:v>Civil money/property return or small-contract dispute suitable for barangay conciliation if parties meet KP requirements.</x:v>
      </x:c>
      <x:c r="O48" s="13" t="str">
        <x:v>P300; P7,000</x:v>
      </x:c>
      <x:c r="P48" s="13" t="str">
        <x:v>Hindi pagbabayad ng utang</x:v>
      </x:c>
      <x:c r="Q48" s="13" t="str"/>
      <x:c r="R48" s="13" t="str">
        <x:v>KP CASE PSWT - Sheet1 - KP CASE PSWT - Sheet1.pdf</x:v>
      </x:c>
    </x:row>
    <x:row r="49" ht="36" customHeight="1">
      <x:c r="A49" s="13" t="str">
        <x:v>KP-25-112-PSWT</x:v>
      </x:c>
      <x:c r="B49" s="13" t="str">
        <x:v>debt</x:v>
      </x:c>
      <x:c r="C49" s="13" t="str">
        <x:v>Real PDF</x:v>
      </x:c>
      <x:c r="D49" s="13" t="str">
        <x:v>KP-25-112-PSWT</x:v>
      </x:c>
      <x:c r="E49" s="13" t="str">
        <x:v>Civil</x:v>
      </x:c>
      <x:c r="F49" s="13" t="str">
        <x:v>Hindi pagbabayad ng inutang na karne</x:v>
      </x:c>
      <x:c r="G49" s="13" t="str">
        <x:v>December 11, 2025</x:v>
      </x:c>
      <x:c r="H49" s="13" t="str">
        <x:v>January 6, 2026</x:v>
      </x:c>
      <x:c r="I49" s="13" t="str">
        <x:v>Nangako ang ipinagsumbong na magbabayad sa pagloloan sa ASA sa first week ng February.</x:v>
      </x:c>
      <x:c r="J49" s="13" t="str">
        <x:v>Settled</x:v>
      </x:c>
      <x:c r="K49" s="13" t="str">
        <x:v>KP_COVERED_AMICABLE</x:v>
      </x:c>
      <x:c r="L49" s="13" t="str">
        <x:v>Eligible for KP screening</x:v>
      </x:c>
      <x:c r="M49" s="13" t="str">
        <x:v>Proceed to barangay conciliation / mediation screening</x:v>
      </x:c>
      <x:c r="N49" s="13" t="str">
        <x:v>Civil money/property return or small-contract dispute suitable for barangay conciliation if parties meet KP requirements.</x:v>
      </x:c>
      <x:c r="O49" s="13" t="str"/>
      <x:c r="P49" s="13" t="str">
        <x:v>Hindi pagbabayad ng inutang na karne</x:v>
      </x:c>
      <x:c r="Q49" s="13" t="str"/>
      <x:c r="R49" s="13" t="str">
        <x:v>KP CASE PSWT - Sheet1 - KP CASE PSWT - Sheet1.pdf</x:v>
      </x:c>
    </x:row>
    <x:row r="50" ht="36" customHeight="1">
      <x:c r="A50" s="13" t="str">
        <x:v>KP-25-113-PSWT</x:v>
      </x:c>
      <x:c r="B50" s="13" t="str">
        <x:v>debt</x:v>
      </x:c>
      <x:c r="C50" s="13" t="str">
        <x:v>Real PDF</x:v>
      </x:c>
      <x:c r="D50" s="13" t="str">
        <x:v>KP-25-113-PSWT</x:v>
      </x:c>
      <x:c r="E50" s="13" t="str">
        <x:v>Civil</x:v>
      </x:c>
      <x:c r="F50" s="13" t="str">
        <x:v>Hindi pagtupad sa pagbabayad ng utang</x:v>
      </x:c>
      <x:c r="G50" s="13" t="str">
        <x:v>December 13, 2025</x:v>
      </x:c>
      <x:c r="H50" s="13" t="str">
        <x:v>-</x:v>
      </x:c>
      <x:c r="I50" s="13" t="str">
        <x:v>Nangako ang ipinagsumbong na maghuhulog siya ng P1,000 tuwing ikaw-15 at ika-30 ng buwan.</x:v>
      </x:c>
      <x:c r="J50" s="13" t="str">
        <x:v>Settled</x:v>
      </x:c>
      <x:c r="K50" s="13" t="str">
        <x:v>KP_COVERED_AMICABLE</x:v>
      </x:c>
      <x:c r="L50" s="13" t="str">
        <x:v>Eligible for KP screening</x:v>
      </x:c>
      <x:c r="M50" s="13" t="str">
        <x:v>Proceed to barangay conciliation / mediation screening</x:v>
      </x:c>
      <x:c r="N50" s="13" t="str">
        <x:v>Civil money/property return or small-contract dispute suitable for barangay conciliation if parties meet KP requirements.</x:v>
      </x:c>
      <x:c r="O50" s="13" t="str">
        <x:v>P1,000</x:v>
      </x:c>
      <x:c r="P50" s="13" t="str">
        <x:v>Hindi pagtupad sa pagbabayad ng utang</x:v>
      </x:c>
      <x:c r="Q50" s="13" t="str"/>
      <x:c r="R50" s="13" t="str">
        <x:v>KP CASE PSWT - Sheet1 - KP CASE PSWT - Sheet1.pdf</x:v>
      </x:c>
    </x:row>
    <x:row r="51" ht="36" customHeight="1">
      <x:c r="A51" s="13" t="str">
        <x:v>KP-25-003-PSWT</x:v>
      </x:c>
      <x:c r="B51" s="13" t="str">
        <x:v>boundary/property</x:v>
      </x:c>
      <x:c r="C51" s="13" t="str">
        <x:v>Real PDF</x:v>
      </x:c>
      <x:c r="D51" s="13" t="str">
        <x:v>KP-25-003-PSWT</x:v>
      </x:c>
      <x:c r="E51" s="13" t="str">
        <x:v>Civil</x:v>
      </x:c>
      <x:c r="F51" s="13" t="str">
        <x:v>Paglilinaw sa inupahang lupa</x:v>
      </x:c>
      <x:c r="G51" s="13" t="str">
        <x:v>January 3, 2025</x:v>
      </x:c>
      <x:c r="H51" s="13" t="str">
        <x:v>-</x:v>
      </x:c>
      <x:c r="I51" s="13" t="str">
        <x:v>Walang paghaharap na nangyari at hindi dumating ang ipinagsumbong</x:v>
      </x:c>
      <x:c r="J51" s="13" t="str">
        <x:v>Endorsed</x:v>
      </x:c>
      <x:c r="K51" s="13" t="str">
        <x:v>KP_COVERED_AMICABLE</x:v>
      </x:c>
      <x:c r="L51" s="13" t="str">
        <x:v>Eligible for KP screening</x:v>
      </x:c>
      <x:c r="M51" s="13" t="str">
        <x:v>Proceed to barangay conciliation / mediation screening</x:v>
      </x:c>
      <x:c r="N51" s="13" t="str">
        <x:v>Local land/property/boundary or neighbor access dispute suitable for KP screening and conciliation.</x:v>
      </x:c>
      <x:c r="O51" s="13" t="str"/>
      <x:c r="P51" s="13" t="str">
        <x:v>Paglilinaw sa inupahang lupa</x:v>
      </x:c>
      <x:c r="Q51" s="13" t="str"/>
      <x:c r="R51" s="13" t="str">
        <x:v>KP CASE PSWT - Sheet1 - KP CASE PSWT - Sheet1.pdf</x:v>
      </x:c>
    </x:row>
    <x:row r="52" ht="36" customHeight="1">
      <x:c r="A52" s="13" t="str">
        <x:v>KP-25-008-PSWT</x:v>
      </x:c>
      <x:c r="B52" s="13" t="str">
        <x:v>boundary/property</x:v>
      </x:c>
      <x:c r="C52" s="13" t="str">
        <x:v>Real PDF</x:v>
      </x:c>
      <x:c r="D52" s="13" t="str">
        <x:v>KP-25-008-PSWT</x:v>
      </x:c>
      <x:c r="E52" s="13" t="str">
        <x:v>Civil</x:v>
      </x:c>
      <x:c r="F52" s="13" t="str">
        <x:v>Paglilinaw sa property</x:v>
      </x:c>
      <x:c r="G52" s="13" t="str">
        <x:v>January 6, 2025</x:v>
      </x:c>
      <x:c r="H52" s="13" t="str">
        <x:v>January 8, 2025</x:v>
      </x:c>
      <x:c r="I52" s="13" t="str">
        <x:v>Ipaparating ng manugang ng ipinagsumbong anf napag- usapan ng may sumbong</x:v>
      </x:c>
      <x:c r="J52" s="13" t="str">
        <x:v>Settled</x:v>
      </x:c>
      <x:c r="K52" s="13" t="str">
        <x:v>KP_COVERED_AMICABLE</x:v>
      </x:c>
      <x:c r="L52" s="13" t="str">
        <x:v>Eligible for KP screening</x:v>
      </x:c>
      <x:c r="M52" s="13" t="str">
        <x:v>Proceed to barangay conciliation / mediation screening</x:v>
      </x:c>
      <x:c r="N52" s="13" t="str">
        <x:v>Local land/property/boundary or neighbor access dispute suitable for KP screening and conciliation.</x:v>
      </x:c>
      <x:c r="O52" s="13" t="str"/>
      <x:c r="P52" s="13" t="str">
        <x:v>Paglilinaw sa property</x:v>
      </x:c>
      <x:c r="Q52" s="13" t="str"/>
      <x:c r="R52" s="13" t="str">
        <x:v>KP CASE PSWT - Sheet1 - KP CASE PSWT - Sheet1.pdf</x:v>
      </x:c>
    </x:row>
    <x:row r="53" ht="36" customHeight="1">
      <x:c r="A53" s="13" t="str">
        <x:v>KP-25-009-PSWT</x:v>
      </x:c>
      <x:c r="B53" s="13" t="str">
        <x:v>boundary/property</x:v>
      </x:c>
      <x:c r="C53" s="13" t="str">
        <x:v>Real PDF</x:v>
      </x:c>
      <x:c r="D53" s="13" t="str">
        <x:v>KP-25-009-PSWT</x:v>
      </x:c>
      <x:c r="E53" s="13" t="str">
        <x:v>Civil</x:v>
      </x:c>
      <x:c r="F53" s="13" t="str">
        <x:v>Paglilinaw sa biniling lupa</x:v>
      </x:c>
      <x:c r="G53" s="13" t="str">
        <x:v>January 8, 2025</x:v>
      </x:c>
      <x:c r="H53" s="13" t="str">
        <x:v>-</x:v>
      </x:c>
      <x:c r="I53" s="13" t="str">
        <x:v>Nagkaroon ng paghaharap subalit walang pagkakasundo sa dalawang panig</x:v>
      </x:c>
      <x:c r="J53" s="13" t="str">
        <x:v>Endorsed</x:v>
      </x:c>
      <x:c r="K53" s="13" t="str">
        <x:v>KP_COVERED_AMICABLE</x:v>
      </x:c>
      <x:c r="L53" s="13" t="str">
        <x:v>Eligible for KP screening</x:v>
      </x:c>
      <x:c r="M53" s="13" t="str">
        <x:v>Proceed to barangay conciliation / mediation screening</x:v>
      </x:c>
      <x:c r="N53" s="13" t="str">
        <x:v>Local land/property/boundary or neighbor access dispute suitable for KP screening and conciliation.</x:v>
      </x:c>
      <x:c r="O53" s="13" t="str"/>
      <x:c r="P53" s="13" t="str">
        <x:v>Paglilinaw sa biniling lupa</x:v>
      </x:c>
      <x:c r="Q53" s="13" t="str"/>
      <x:c r="R53" s="13" t="str">
        <x:v>KP CASE PSWT - Sheet1 - KP CASE PSWT - Sheet1.pdf</x:v>
      </x:c>
    </x:row>
    <x:row r="54" ht="36" customHeight="1">
      <x:c r="A54" s="13" t="str">
        <x:v>KP-25-020-PSWT</x:v>
      </x:c>
      <x:c r="B54" s="13" t="str">
        <x:v>boundary/property</x:v>
      </x:c>
      <x:c r="C54" s="13" t="str">
        <x:v>Real PDF</x:v>
      </x:c>
      <x:c r="D54" s="13" t="str">
        <x:v>KP-25-020-PSWT</x:v>
      </x:c>
      <x:c r="E54" s="13" t="str">
        <x:v>Civil</x:v>
      </x:c>
      <x:c r="F54" s="13" t="str">
        <x:v>Lupang pinasukat</x:v>
      </x:c>
      <x:c r="G54" s="13" t="str">
        <x:v>February 23, 2025</x:v>
      </x:c>
      <x:c r="H54" s="13" t="str">
        <x:v>-</x:v>
      </x:c>
      <x:c r="I54" s="13" t="str">
        <x:v>Hindi dumadating ang ipinagsumbong sa oras ng hearing.</x:v>
      </x:c>
      <x:c r="J54" s="13" t="str">
        <x:v>Endorsed</x:v>
      </x:c>
      <x:c r="K54" s="13" t="str">
        <x:v>KP_COVERED_AMICABLE</x:v>
      </x:c>
      <x:c r="L54" s="13" t="str">
        <x:v>Eligible for KP screening</x:v>
      </x:c>
      <x:c r="M54" s="13" t="str">
        <x:v>Proceed to barangay conciliation / mediation screening</x:v>
      </x:c>
      <x:c r="N54" s="13" t="str">
        <x:v>Local land/property/boundary or neighbor access dispute suitable for KP screening and conciliation.</x:v>
      </x:c>
      <x:c r="O54" s="13" t="str"/>
      <x:c r="P54" s="13" t="str">
        <x:v>Lupang pinasukat</x:v>
      </x:c>
      <x:c r="Q54" s="13" t="str"/>
      <x:c r="R54" s="13" t="str">
        <x:v>KP CASE PSWT - Sheet1 - KP CASE PSWT - Sheet1.pdf</x:v>
      </x:c>
    </x:row>
    <x:row r="55" ht="36" customHeight="1">
      <x:c r="A55" s="13" t="str">
        <x:v>KP-25-025-PSWT</x:v>
      </x:c>
      <x:c r="B55" s="13" t="str">
        <x:v>boundary/property</x:v>
      </x:c>
      <x:c r="C55" s="13" t="str">
        <x:v>Real PDF</x:v>
      </x:c>
      <x:c r="D55" s="13" t="str">
        <x:v>KP-25-025-PSWT</x:v>
      </x:c>
      <x:c r="E55" s="13" t="str">
        <x:v>Civil</x:v>
      </x:c>
      <x:c r="F55" s="13" t="str">
        <x:v>Hindi pagsunod sa pagpapatitulo ng lupa</x:v>
      </x:c>
      <x:c r="G55" s="13" t="str">
        <x:v>February 23, 2025</x:v>
      </x:c>
      <x:c r="H55" s="13" t="str">
        <x:v>-</x:v>
      </x:c>
      <x:c r="I55" s="13" t="str">
        <x:v>Hindi dumadating ang ipinagsumbong sa oras ng hearing.</x:v>
      </x:c>
      <x:c r="J55" s="13" t="str">
        <x:v>Endorsed</x:v>
      </x:c>
      <x:c r="K55" s="13" t="str">
        <x:v>KP_COVERED_AMICABLE</x:v>
      </x:c>
      <x:c r="L55" s="13" t="str">
        <x:v>Eligible for KP screening</x:v>
      </x:c>
      <x:c r="M55" s="13" t="str">
        <x:v>Proceed to barangay conciliation / mediation screening</x:v>
      </x:c>
      <x:c r="N55" s="13" t="str">
        <x:v>Local land/property/boundary or neighbor access dispute suitable for KP screening and conciliation.</x:v>
      </x:c>
      <x:c r="O55" s="13" t="str"/>
      <x:c r="P55" s="13" t="str">
        <x:v>Hindi pagsunod sa pagpapatitulo ng lupa</x:v>
      </x:c>
      <x:c r="Q55" s="13" t="str"/>
      <x:c r="R55" s="13" t="str">
        <x:v>KP CASE PSWT - Sheet1 - KP CASE PSWT - Sheet1.pdf</x:v>
      </x:c>
    </x:row>
    <x:row r="56" ht="36" customHeight="1">
      <x:c r="A56" s="13" t="str">
        <x:v>KP-25-028-PSWT</x:v>
      </x:c>
      <x:c r="B56" s="13" t="str">
        <x:v>boundary/property</x:v>
      </x:c>
      <x:c r="C56" s="13" t="str">
        <x:v>Real PDF</x:v>
      </x:c>
      <x:c r="D56" s="13" t="str">
        <x:v>KP-25-028-PSWT</x:v>
      </x:c>
      <x:c r="E56" s="13" t="str">
        <x:v>Civil</x:v>
      </x:c>
      <x:c r="F56" s="13" t="str">
        <x:v>Pagpapa-alis sa mga nangungupahan</x:v>
      </x:c>
      <x:c r="G56" s="13" t="str">
        <x:v>March 18, 2025</x:v>
      </x:c>
      <x:c r="H56" s="13" t="str">
        <x:v>April 28, 2025</x:v>
      </x:c>
      <x:c r="I56" s="13" t="str">
        <x:v>Nagkaroon ng pagkakasundo at binibigyan ng palugit hanggang April 12 at sila ay kusang aalis sa kanilang inuupahan.</x:v>
      </x:c>
      <x:c r="J56" s="13" t="str">
        <x:v>Settled</x:v>
      </x:c>
      <x:c r="K56" s="13" t="str">
        <x:v>KP_COVERED_AMICABLE</x:v>
      </x:c>
      <x:c r="L56" s="13" t="str">
        <x:v>Eligible for KP screening</x:v>
      </x:c>
      <x:c r="M56" s="13" t="str">
        <x:v>Proceed to barangay conciliation / mediation screening</x:v>
      </x:c>
      <x:c r="N56" s="13" t="str">
        <x:v>Local land/property/boundary or neighbor access dispute suitable for KP screening and conciliation.</x:v>
      </x:c>
      <x:c r="O56" s="13" t="str"/>
      <x:c r="P56" s="13" t="str">
        <x:v>Pagpapa-alis sa mga nangungupahan</x:v>
      </x:c>
      <x:c r="Q56" s="13" t="str"/>
      <x:c r="R56" s="13" t="str">
        <x:v>KP CASE PSWT - Sheet1 - KP CASE PSWT - Sheet1.pdf</x:v>
      </x:c>
    </x:row>
    <x:row r="57" ht="36" customHeight="1">
      <x:c r="A57" s="13" t="str">
        <x:v>KP-25-031-PSWT</x:v>
      </x:c>
      <x:c r="B57" s="13" t="str">
        <x:v>boundary/property</x:v>
      </x:c>
      <x:c r="C57" s="13" t="str">
        <x:v>Real PDF</x:v>
      </x:c>
      <x:c r="D57" s="13" t="str">
        <x:v>KP-25-031-PSWT</x:v>
      </x:c>
      <x:c r="E57" s="13" t="str">
        <x:v>Civil</x:v>
      </x:c>
      <x:c r="F57" s="13" t="str">
        <x:v>Paglilinaw sa property</x:v>
      </x:c>
      <x:c r="G57" s="13" t="str">
        <x:v>March 24, 2025</x:v>
      </x:c>
      <x:c r="H57" s="13" t="str">
        <x:v>April 4, 2025</x:v>
      </x:c>
      <x:c r="I57" s="13" t="str">
        <x:v>Nagkaroon ng malinaw sa bawat isa na ang property na gustong linawin ng maysumbong ay wala pang malinaw kung sino talaga ang nagmamay-ari. Ang usapin ay tinatapos na sa araw na ito.</x:v>
      </x:c>
      <x:c r="J57" s="13" t="str">
        <x:v>Settled</x:v>
      </x:c>
      <x:c r="K57" s="13" t="str">
        <x:v>KP_COVERED_AMICABLE</x:v>
      </x:c>
      <x:c r="L57" s="13" t="str">
        <x:v>Eligible for KP screening</x:v>
      </x:c>
      <x:c r="M57" s="13" t="str">
        <x:v>Proceed to barangay conciliation / mediation screening</x:v>
      </x:c>
      <x:c r="N57" s="13" t="str">
        <x:v>Local land/property/boundary or neighbor access dispute suitable for KP screening and conciliation.</x:v>
      </x:c>
      <x:c r="O57" s="13" t="str"/>
      <x:c r="P57" s="13" t="str">
        <x:v>Paglilinaw sa property</x:v>
      </x:c>
      <x:c r="Q57" s="13" t="str"/>
      <x:c r="R57" s="13" t="str">
        <x:v>KP CASE PSWT - Sheet1 - KP CASE PSWT - Sheet1.pdf</x:v>
      </x:c>
    </x:row>
    <x:row r="58" ht="36" customHeight="1">
      <x:c r="A58" s="13" t="str">
        <x:v>KP-25-046-PSWT</x:v>
      </x:c>
      <x:c r="B58" s="13" t="str">
        <x:v>boundary/property</x:v>
      </x:c>
      <x:c r="C58" s="13" t="str">
        <x:v>Real PDF</x:v>
      </x:c>
      <x:c r="D58" s="13" t="str">
        <x:v>KP-25-046-PSWT</x:v>
      </x:c>
      <x:c r="E58" s="13" t="str">
        <x:v>Civil</x:v>
      </x:c>
      <x:c r="F58" s="13" t="str">
        <x:v>Paglilinaw sa daan</x:v>
      </x:c>
      <x:c r="G58" s="13" t="str">
        <x:v>May 26, 2025</x:v>
      </x:c>
      <x:c r="H58" s="13" t="str">
        <x:v>May 30, 2025</x:v>
      </x:c>
      <x:c r="I58" s="13" t="str">
        <x:v>Nagkaroon ng pagkakasundo, humingi ng pasensya ang ipinagsumbong sa maysumbong at nangako na isasara na niya ang gate.</x:v>
      </x:c>
      <x:c r="J58" s="13" t="str">
        <x:v>Settled</x:v>
      </x:c>
      <x:c r="K58" s="13" t="str">
        <x:v>KP_COVERED_AMICABLE</x:v>
      </x:c>
      <x:c r="L58" s="13" t="str">
        <x:v>Eligible for KP screening</x:v>
      </x:c>
      <x:c r="M58" s="13" t="str">
        <x:v>Proceed to barangay conciliation / mediation screening</x:v>
      </x:c>
      <x:c r="N58" s="13" t="str">
        <x:v>Local land/property/boundary or neighbor access dispute suitable for KP screening and conciliation.</x:v>
      </x:c>
      <x:c r="O58" s="13" t="str"/>
      <x:c r="P58" s="13" t="str">
        <x:v>Paglilinaw sa daan</x:v>
      </x:c>
      <x:c r="Q58" s="13" t="str"/>
      <x:c r="R58" s="13" t="str">
        <x:v>KP CASE PSWT - Sheet1 - KP CASE PSWT - Sheet1.pdf</x:v>
      </x:c>
    </x:row>
    <x:row r="59" ht="36" customHeight="1">
      <x:c r="A59" s="13" t="str">
        <x:v>KP-25-055-PSWT</x:v>
      </x:c>
      <x:c r="B59" s="13" t="str">
        <x:v>boundary/property</x:v>
      </x:c>
      <x:c r="C59" s="13" t="str">
        <x:v>Real PDF</x:v>
      </x:c>
      <x:c r="D59" s="13" t="str">
        <x:v>KP-25-055-PSWT</x:v>
      </x:c>
      <x:c r="E59" s="13" t="str">
        <x:v>Civil</x:v>
      </x:c>
      <x:c r="F59" s="13" t="str">
        <x:v>Paglilinaw sa edging at high speed machine</x:v>
      </x:c>
      <x:c r="G59" s="13" t="str">
        <x:v>June 16, 2025</x:v>
      </x:c>
      <x:c r="H59" s="13" t="str">
        <x:v>-</x:v>
      </x:c>
      <x:c r="I59" s="13" t="str">
        <x:v>Hindi bumalik ang maysumbong sa pangatlong paghaharap.</x:v>
      </x:c>
      <x:c r="J59" s="13" t="str">
        <x:v>Dismiss</x:v>
      </x:c>
      <x:c r="K59" s="13" t="str">
        <x:v>KP_COVERED_AMICABLE</x:v>
      </x:c>
      <x:c r="L59" s="13" t="str">
        <x:v>Eligible for KP screening</x:v>
      </x:c>
      <x:c r="M59" s="13" t="str">
        <x:v>Proceed to barangay conciliation / mediation screening</x:v>
      </x:c>
      <x:c r="N59" s="13" t="str">
        <x:v>Local land/property/boundary or neighbor access dispute suitable for KP screening and conciliation.</x:v>
      </x:c>
      <x:c r="O59" s="13" t="str"/>
      <x:c r="P59" s="13" t="str">
        <x:v>Paglilinaw sa edging at high speed machine</x:v>
      </x:c>
      <x:c r="Q59" s="13" t="str"/>
      <x:c r="R59" s="13" t="str">
        <x:v>KP CASE PSWT - Sheet1 - KP CASE PSWT - Sheet1.pdf</x:v>
      </x:c>
    </x:row>
    <x:row r="60" ht="36" customHeight="1">
      <x:c r="A60" s="13" t="str">
        <x:v>KP-25-056-PSWT</x:v>
      </x:c>
      <x:c r="B60" s="13" t="str">
        <x:v>boundary/property</x:v>
      </x:c>
      <x:c r="C60" s="13" t="str">
        <x:v>Real PDF</x:v>
      </x:c>
      <x:c r="D60" s="13" t="str">
        <x:v>KP-25-056-PSWT</x:v>
      </x:c>
      <x:c r="E60" s="13" t="str">
        <x:v>Civil</x:v>
      </x:c>
      <x:c r="F60" s="13" t="str">
        <x:v>Paglilinaw sa lupa</x:v>
      </x:c>
      <x:c r="G60" s="13" t="str">
        <x:v>June 20, 2025</x:v>
      </x:c>
      <x:c r="H60" s="13" t="str">
        <x:v>-</x:v>
      </x:c>
      <x:c r="I60" s="13" t="str">
        <x:v>Walang pagkakasundo sa dalawang panig kaya't ang maysumbong ay may karapatan ng maghain ng kaukulang reklamo sa kinauukulang tanggapan.</x:v>
      </x:c>
      <x:c r="J60" s="13" t="str">
        <x:v>Endorsed</x:v>
      </x:c>
      <x:c r="K60" s="13" t="str">
        <x:v>KP_COVERED_AMICABLE</x:v>
      </x:c>
      <x:c r="L60" s="13" t="str">
        <x:v>Eligible for KP screening</x:v>
      </x:c>
      <x:c r="M60" s="13" t="str">
        <x:v>Proceed to barangay conciliation / mediation screening</x:v>
      </x:c>
      <x:c r="N60" s="13" t="str">
        <x:v>Local land/property/boundary or neighbor access dispute suitable for KP screening and conciliation.</x:v>
      </x:c>
      <x:c r="O60" s="13" t="str"/>
      <x:c r="P60" s="13" t="str">
        <x:v>Paglilinaw sa lupa</x:v>
      </x:c>
      <x:c r="Q60" s="13" t="str"/>
      <x:c r="R60" s="13" t="str">
        <x:v>KP CASE PSWT - Sheet1 - KP CASE PSWT - Sheet1.pdf</x:v>
      </x:c>
    </x:row>
    <x:row r="61" ht="36" customHeight="1">
      <x:c r="A61" s="13" t="str">
        <x:v>KP-25-076-PSWT</x:v>
      </x:c>
      <x:c r="B61" s="13" t="str">
        <x:v>boundary/property</x:v>
      </x:c>
      <x:c r="C61" s="13" t="str">
        <x:v>Real PDF</x:v>
      </x:c>
      <x:c r="D61" s="13" t="str">
        <x:v>KP-25-076-PSWT</x:v>
      </x:c>
      <x:c r="E61" s="13" t="str">
        <x:v>Civil</x:v>
      </x:c>
      <x:c r="F61" s="13" t="str">
        <x:v>Paglilinaw sa pinutol na puno at tapon ng tubig</x:v>
      </x:c>
      <x:c r="G61" s="13" t="str">
        <x:v>August 18, 2025</x:v>
      </x:c>
      <x:c r="H61" s="13" t="str">
        <x:v>September 4, 2025</x:v>
      </x:c>
      <x:c r="I61" s="13" t="str">
        <x:v>Nagkaroon ng pagkakasundo na sila ay magpapalinis ng mga puno na nakatakip sa bahay ng maysumbong at sasabayaan ng pag-aayos ng tuluan ng tubig na nasa bakuran ng maysumbong.</x:v>
      </x:c>
      <x:c r="J61" s="13" t="str">
        <x:v>Settled</x:v>
      </x:c>
      <x:c r="K61" s="13" t="str">
        <x:v>KP_COVERED_AMICABLE</x:v>
      </x:c>
      <x:c r="L61" s="13" t="str">
        <x:v>Eligible for KP screening</x:v>
      </x:c>
      <x:c r="M61" s="13" t="str">
        <x:v>Proceed to barangay conciliation / mediation screening</x:v>
      </x:c>
      <x:c r="N61" s="13" t="str">
        <x:v>Local land/property/boundary or neighbor access dispute suitable for KP screening and conciliation.</x:v>
      </x:c>
      <x:c r="O61" s="13" t="str"/>
      <x:c r="P61" s="13" t="str">
        <x:v>Paglilinaw sa pinutol na puno at tapon ng tubig</x:v>
      </x:c>
      <x:c r="Q61" s="13" t="str"/>
      <x:c r="R61" s="13" t="str">
        <x:v>KP CASE PSWT - Sheet1 - KP CASE PSWT - Sheet1.pdf</x:v>
      </x:c>
    </x:row>
    <x:row r="62" ht="36" customHeight="1">
      <x:c r="A62" s="13" t="str">
        <x:v>SYN-PROP-001</x:v>
      </x:c>
      <x:c r="B62" s="13" t="str">
        <x:v>boundary/property</x:v>
      </x:c>
      <x:c r="C62" s="13" t="str">
        <x:v>Synthetic</x:v>
      </x:c>
      <x:c r="D62" s="13" t="str"/>
      <x:c r="E62" s="13" t="str">
        <x:v>Civil</x:v>
      </x:c>
      <x:c r="F62" s="13" t="str">
        <x:v>Paglilinaw sa bakod na lumampas sa hangganan ng lote</x:v>
      </x:c>
      <x:c r="G62" s="13" t="str">
        <x:v>January 4, 2026</x:v>
      </x:c>
      <x:c r="H62" s="13" t="str">
        <x:v>-</x:v>
      </x:c>
      <x:c r="I62" s="13" t="str">
        <x:v>Synthetic example: parties are neighbors/residents; no prior court filing stated; for barangay mediation eligibility screening.</x:v>
      </x:c>
      <x:c r="J62" s="13" t="str">
        <x:v>For Mediation</x:v>
      </x:c>
      <x:c r="K62" s="13" t="str">
        <x:v>KP_COVERED_AMICABLE</x:v>
      </x:c>
      <x:c r="L62" s="13" t="str">
        <x:v>Eligible for KP screening</x:v>
      </x:c>
      <x:c r="M62" s="13" t="str">
        <x:v>Proceed to barangay conciliation / mediation screening</x:v>
      </x:c>
      <x:c r="N62" s="13" t="str">
        <x:v>Local property, boundary, access, or neighbor-use dispute.</x:v>
      </x:c>
      <x:c r="O62" s="13" t="str"/>
      <x:c r="P62" s="13" t="str">
        <x:v>Paglilinaw sa bakod na lumampas sa hangganan ng lote</x:v>
      </x:c>
      <x:c r="Q62" s="13" t="str">
        <x:v>Added to balance 'boundary/property' to 49 examples using the same Justice KP label schema.</x:v>
      </x:c>
      <x:c r="R62" s="13" t="str">
        <x:v>Synthetic row based on category coverage gap from uploaded PDF</x:v>
      </x:c>
    </x:row>
    <x:row r="63" ht="36" customHeight="1">
      <x:c r="A63" s="13" t="str">
        <x:v>SYN-PROP-002</x:v>
      </x:c>
      <x:c r="B63" s="13" t="str">
        <x:v>boundary/property</x:v>
      </x:c>
      <x:c r="C63" s="13" t="str">
        <x:v>Synthetic</x:v>
      </x:c>
      <x:c r="D63" s="13" t="str"/>
      <x:c r="E63" s="13" t="str">
        <x:v>Civil</x:v>
      </x:c>
      <x:c r="F63" s="13" t="str">
        <x:v>Alitan sa daanan papunta sa likod ng bahay</x:v>
      </x:c>
      <x:c r="G63" s="13" t="str">
        <x:v>January 7, 2026</x:v>
      </x:c>
      <x:c r="H63" s="13" t="str">
        <x:v>-</x:v>
      </x:c>
      <x:c r="I63" s="13" t="str">
        <x:v>Synthetic example: parties are neighbors/residents; no prior court filing stated; for barangay mediation eligibility screening.</x:v>
      </x:c>
      <x:c r="J63" s="13" t="str">
        <x:v>For Mediation</x:v>
      </x:c>
      <x:c r="K63" s="13" t="str">
        <x:v>KP_COVERED_AMICABLE</x:v>
      </x:c>
      <x:c r="L63" s="13" t="str">
        <x:v>Eligible for KP screening</x:v>
      </x:c>
      <x:c r="M63" s="13" t="str">
        <x:v>Proceed to barangay conciliation / mediation screening</x:v>
      </x:c>
      <x:c r="N63" s="13" t="str">
        <x:v>Local property, boundary, access, or neighbor-use dispute.</x:v>
      </x:c>
      <x:c r="O63" s="13" t="str"/>
      <x:c r="P63" s="13" t="str">
        <x:v>Alitan sa daanan papunta sa likod ng bahay</x:v>
      </x:c>
      <x:c r="Q63" s="13" t="str">
        <x:v>Added to balance 'boundary/property' to 49 examples using the same Justice KP label schema.</x:v>
      </x:c>
      <x:c r="R63" s="13" t="str">
        <x:v>Synthetic row based on category coverage gap from uploaded PDF</x:v>
      </x:c>
    </x:row>
    <x:row r="64" ht="36" customHeight="1">
      <x:c r="A64" s="13" t="str">
        <x:v>SYN-PROP-003</x:v>
      </x:c>
      <x:c r="B64" s="13" t="str">
        <x:v>boundary/property</x:v>
      </x:c>
      <x:c r="C64" s="13" t="str">
        <x:v>Synthetic</x:v>
      </x:c>
      <x:c r="D64" s="13" t="str"/>
      <x:c r="E64" s="13" t="str">
        <x:v>Civil</x:v>
      </x:c>
      <x:c r="F64" s="13" t="str">
        <x:v>Paglilinaw sa puno na nakapasok sa bakuran ng kapitbahay</x:v>
      </x:c>
      <x:c r="G64" s="13" t="str">
        <x:v>January 10, 2026</x:v>
      </x:c>
      <x:c r="H64" s="13" t="str">
        <x:v>-</x:v>
      </x:c>
      <x:c r="I64" s="13" t="str">
        <x:v>Synthetic example: parties are neighbors/residents; no prior court filing stated; for barangay mediation eligibility screening.</x:v>
      </x:c>
      <x:c r="J64" s="13" t="str">
        <x:v>For Mediation</x:v>
      </x:c>
      <x:c r="K64" s="13" t="str">
        <x:v>KP_COVERED_AMICABLE</x:v>
      </x:c>
      <x:c r="L64" s="13" t="str">
        <x:v>Eligible for KP screening</x:v>
      </x:c>
      <x:c r="M64" s="13" t="str">
        <x:v>Proceed to barangay conciliation / mediation screening</x:v>
      </x:c>
      <x:c r="N64" s="13" t="str">
        <x:v>Local property, boundary, access, or neighbor-use dispute.</x:v>
      </x:c>
      <x:c r="O64" s="13" t="str"/>
      <x:c r="P64" s="13" t="str">
        <x:v>Paglilinaw sa puno na nakapasok sa bakuran ng kapitbahay</x:v>
      </x:c>
      <x:c r="Q64" s="13" t="str">
        <x:v>Added to balance 'boundary/property' to 49 examples using the same Justice KP label schema.</x:v>
      </x:c>
      <x:c r="R64" s="13" t="str">
        <x:v>Synthetic row based on category coverage gap from uploaded PDF</x:v>
      </x:c>
    </x:row>
    <x:row r="65" ht="36" customHeight="1">
      <x:c r="A65" s="13" t="str">
        <x:v>SYN-PROP-004</x:v>
      </x:c>
      <x:c r="B65" s="13" t="str">
        <x:v>boundary/property</x:v>
      </x:c>
      <x:c r="C65" s="13" t="str">
        <x:v>Synthetic</x:v>
      </x:c>
      <x:c r="D65" s="13" t="str"/>
      <x:c r="E65" s="13" t="str">
        <x:v>Civil</x:v>
      </x:c>
      <x:c r="F65" s="13" t="str">
        <x:v>Hindi pagkakasundo sa linya ng kanal sa pagitan ng dalawang bahay</x:v>
      </x:c>
      <x:c r="G65" s="13" t="str">
        <x:v>January 13, 2026</x:v>
      </x:c>
      <x:c r="H65" s="13" t="str">
        <x:v>-</x:v>
      </x:c>
      <x:c r="I65" s="13" t="str">
        <x:v>Synthetic example: parties are neighbors/residents; no prior court filing stated; for barangay mediation eligibility screening.</x:v>
      </x:c>
      <x:c r="J65" s="13" t="str">
        <x:v>For Mediation</x:v>
      </x:c>
      <x:c r="K65" s="13" t="str">
        <x:v>KP_COVERED_AMICABLE</x:v>
      </x:c>
      <x:c r="L65" s="13" t="str">
        <x:v>Eligible for KP screening</x:v>
      </x:c>
      <x:c r="M65" s="13" t="str">
        <x:v>Proceed to barangay conciliation / mediation screening</x:v>
      </x:c>
      <x:c r="N65" s="13" t="str">
        <x:v>Local property, boundary, access, or neighbor-use dispute.</x:v>
      </x:c>
      <x:c r="O65" s="13" t="str"/>
      <x:c r="P65" s="13" t="str">
        <x:v>Hindi pagkakasundo sa linya ng kanal sa pagitan ng dalawang bahay</x:v>
      </x:c>
      <x:c r="Q65" s="13" t="str">
        <x:v>Added to balance 'boundary/property' to 49 examples using the same Justice KP label schema.</x:v>
      </x:c>
      <x:c r="R65" s="13" t="str">
        <x:v>Synthetic row based on category coverage gap from uploaded PDF</x:v>
      </x:c>
    </x:row>
    <x:row r="66" ht="36" customHeight="1">
      <x:c r="A66" s="13" t="str">
        <x:v>SYN-PROP-005</x:v>
      </x:c>
      <x:c r="B66" s="13" t="str">
        <x:v>boundary/property</x:v>
      </x:c>
      <x:c r="C66" s="13" t="str">
        <x:v>Synthetic</x:v>
      </x:c>
      <x:c r="D66" s="13" t="str"/>
      <x:c r="E66" s="13" t="str">
        <x:v>Civil</x:v>
      </x:c>
      <x:c r="F66" s="13" t="str">
        <x:v>Pag-aaway tungkol sa lupaing minana ng magkapatid</x:v>
      </x:c>
      <x:c r="G66" s="13" t="str">
        <x:v>January 16, 2026</x:v>
      </x:c>
      <x:c r="H66" s="13" t="str">
        <x:v>-</x:v>
      </x:c>
      <x:c r="I66" s="13" t="str">
        <x:v>Synthetic example: parties are neighbors/residents; no prior court filing stated; for barangay mediation eligibility screening.</x:v>
      </x:c>
      <x:c r="J66" s="13" t="str">
        <x:v>For Mediation</x:v>
      </x:c>
      <x:c r="K66" s="13" t="str">
        <x:v>KP_COVERED_AMICABLE</x:v>
      </x:c>
      <x:c r="L66" s="13" t="str">
        <x:v>Eligible for KP screening</x:v>
      </x:c>
      <x:c r="M66" s="13" t="str">
        <x:v>Proceed to barangay conciliation / mediation screening</x:v>
      </x:c>
      <x:c r="N66" s="13" t="str">
        <x:v>Local property, boundary, access, or neighbor-use dispute.</x:v>
      </x:c>
      <x:c r="O66" s="13" t="str"/>
      <x:c r="P66" s="13" t="str">
        <x:v>Pag-aaway tungkol sa lupaing minana ng magkapatid</x:v>
      </x:c>
      <x:c r="Q66" s="13" t="str">
        <x:v>Added to balance 'boundary/property' to 49 examples using the same Justice KP label schema.</x:v>
      </x:c>
      <x:c r="R66" s="13" t="str">
        <x:v>Synthetic row based on category coverage gap from uploaded PDF</x:v>
      </x:c>
    </x:row>
    <x:row r="67" ht="36" customHeight="1">
      <x:c r="A67" s="13" t="str">
        <x:v>SYN-PROP-006</x:v>
      </x:c>
      <x:c r="B67" s="13" t="str">
        <x:v>boundary/property</x:v>
      </x:c>
      <x:c r="C67" s="13" t="str">
        <x:v>Synthetic</x:v>
      </x:c>
      <x:c r="D67" s="13" t="str"/>
      <x:c r="E67" s="13" t="str">
        <x:v>Civil</x:v>
      </x:c>
      <x:c r="F67" s="13" t="str">
        <x:v>Paglilinaw sa sukat ng lote matapos magpagawa ng bakod</x:v>
      </x:c>
      <x:c r="G67" s="13" t="str">
        <x:v>January 19, 2026</x:v>
      </x:c>
      <x:c r="H67" s="13" t="str">
        <x:v>-</x:v>
      </x:c>
      <x:c r="I67" s="13" t="str">
        <x:v>Synthetic example: parties are neighbors/residents; no prior court filing stated; for barangay mediation eligibility screening.</x:v>
      </x:c>
      <x:c r="J67" s="13" t="str">
        <x:v>For Mediation</x:v>
      </x:c>
      <x:c r="K67" s="13" t="str">
        <x:v>KP_COVERED_AMICABLE</x:v>
      </x:c>
      <x:c r="L67" s="13" t="str">
        <x:v>Eligible for KP screening</x:v>
      </x:c>
      <x:c r="M67" s="13" t="str">
        <x:v>Proceed to barangay conciliation / mediation screening</x:v>
      </x:c>
      <x:c r="N67" s="13" t="str">
        <x:v>Local property, boundary, access, or neighbor-use dispute.</x:v>
      </x:c>
      <x:c r="O67" s="13" t="str"/>
      <x:c r="P67" s="13" t="str">
        <x:v>Paglilinaw sa sukat ng lote matapos magpagawa ng bakod</x:v>
      </x:c>
      <x:c r="Q67" s="13" t="str">
        <x:v>Added to balance 'boundary/property' to 49 examples using the same Justice KP label schema.</x:v>
      </x:c>
      <x:c r="R67" s="13" t="str">
        <x:v>Synthetic row based on category coverage gap from uploaded PDF</x:v>
      </x:c>
    </x:row>
    <x:row r="68" ht="36" customHeight="1">
      <x:c r="A68" s="13" t="str">
        <x:v>SYN-PROP-007</x:v>
      </x:c>
      <x:c r="B68" s="13" t="str">
        <x:v>boundary/property</x:v>
      </x:c>
      <x:c r="C68" s="13" t="str">
        <x:v>Synthetic</x:v>
      </x:c>
      <x:c r="D68" s="13" t="str"/>
      <x:c r="E68" s="13" t="str">
        <x:v>Civil</x:v>
      </x:c>
      <x:c r="F68" s="13" t="str">
        <x:v>Pagharang sa dating daanan ng pamilya papunta sa kalsada</x:v>
      </x:c>
      <x:c r="G68" s="13" t="str">
        <x:v>January 22, 2026</x:v>
      </x:c>
      <x:c r="H68" s="13" t="str">
        <x:v>-</x:v>
      </x:c>
      <x:c r="I68" s="13" t="str">
        <x:v>Synthetic example: parties are neighbors/residents; no prior court filing stated; for barangay mediation eligibility screening.</x:v>
      </x:c>
      <x:c r="J68" s="13" t="str">
        <x:v>For Mediation</x:v>
      </x:c>
      <x:c r="K68" s="13" t="str">
        <x:v>KP_COVERED_AMICABLE</x:v>
      </x:c>
      <x:c r="L68" s="13" t="str">
        <x:v>Eligible for KP screening</x:v>
      </x:c>
      <x:c r="M68" s="13" t="str">
        <x:v>Proceed to barangay conciliation / mediation screening</x:v>
      </x:c>
      <x:c r="N68" s="13" t="str">
        <x:v>Local property, boundary, access, or neighbor-use dispute.</x:v>
      </x:c>
      <x:c r="O68" s="13" t="str"/>
      <x:c r="P68" s="13" t="str">
        <x:v>Pagharang sa dating daanan ng pamilya papunta sa kalsada</x:v>
      </x:c>
      <x:c r="Q68" s="13" t="str">
        <x:v>Added to balance 'boundary/property' to 49 examples using the same Justice KP label schema.</x:v>
      </x:c>
      <x:c r="R68" s="13" t="str">
        <x:v>Synthetic row based on category coverage gap from uploaded PDF</x:v>
      </x:c>
    </x:row>
    <x:row r="69" ht="36" customHeight="1">
      <x:c r="A69" s="13" t="str">
        <x:v>SYN-PROP-008</x:v>
      </x:c>
      <x:c r="B69" s="13" t="str">
        <x:v>boundary/property</x:v>
      </x:c>
      <x:c r="C69" s="13" t="str">
        <x:v>Synthetic</x:v>
      </x:c>
      <x:c r="D69" s="13" t="str"/>
      <x:c r="E69" s="13" t="str">
        <x:v>Civil</x:v>
      </x:c>
      <x:c r="F69" s="13" t="str">
        <x:v>Reklamo sa pag-agos ng tubig mula sa bakuran ng kapitbahay</x:v>
      </x:c>
      <x:c r="G69" s="13" t="str">
        <x:v>January 25, 2026</x:v>
      </x:c>
      <x:c r="H69" s="13" t="str">
        <x:v>-</x:v>
      </x:c>
      <x:c r="I69" s="13" t="str">
        <x:v>Synthetic example: parties are neighbors/residents; no prior court filing stated; for barangay mediation eligibility screening.</x:v>
      </x:c>
      <x:c r="J69" s="13" t="str">
        <x:v>For Mediation</x:v>
      </x:c>
      <x:c r="K69" s="13" t="str">
        <x:v>KP_COVERED_AMICABLE</x:v>
      </x:c>
      <x:c r="L69" s="13" t="str">
        <x:v>Eligible for KP screening</x:v>
      </x:c>
      <x:c r="M69" s="13" t="str">
        <x:v>Proceed to barangay conciliation / mediation screening</x:v>
      </x:c>
      <x:c r="N69" s="13" t="str">
        <x:v>Local property, boundary, access, or neighbor-use dispute.</x:v>
      </x:c>
      <x:c r="O69" s="13" t="str"/>
      <x:c r="P69" s="13" t="str">
        <x:v>Reklamo sa pag-agos ng tubig mula sa bakuran ng kapitbahay</x:v>
      </x:c>
      <x:c r="Q69" s="13" t="str">
        <x:v>Added to balance 'boundary/property' to 49 examples using the same Justice KP label schema.</x:v>
      </x:c>
      <x:c r="R69" s="13" t="str">
        <x:v>Synthetic row based on category coverage gap from uploaded PDF</x:v>
      </x:c>
    </x:row>
    <x:row r="70" ht="36" customHeight="1">
      <x:c r="A70" s="13" t="str">
        <x:v>SYN-PROP-009</x:v>
      </x:c>
      <x:c r="B70" s="13" t="str">
        <x:v>boundary/property</x:v>
      </x:c>
      <x:c r="C70" s="13" t="str">
        <x:v>Synthetic</x:v>
      </x:c>
      <x:c r="D70" s="13" t="str"/>
      <x:c r="E70" s="13" t="str">
        <x:v>Civil</x:v>
      </x:c>
      <x:c r="F70" s="13" t="str">
        <x:v>Paglilinaw sa shared wall ng magkadikit na bahay</x:v>
      </x:c>
      <x:c r="G70" s="13" t="str">
        <x:v>January 28, 2026</x:v>
      </x:c>
      <x:c r="H70" s="13" t="str">
        <x:v>-</x:v>
      </x:c>
      <x:c r="I70" s="13" t="str">
        <x:v>Synthetic example: parties are neighbors/residents; no prior court filing stated; for barangay mediation eligibility screening.</x:v>
      </x:c>
      <x:c r="J70" s="13" t="str">
        <x:v>For Mediation</x:v>
      </x:c>
      <x:c r="K70" s="13" t="str">
        <x:v>KP_COVERED_AMICABLE</x:v>
      </x:c>
      <x:c r="L70" s="13" t="str">
        <x:v>Eligible for KP screening</x:v>
      </x:c>
      <x:c r="M70" s="13" t="str">
        <x:v>Proceed to barangay conciliation / mediation screening</x:v>
      </x:c>
      <x:c r="N70" s="13" t="str">
        <x:v>Local property, boundary, access, or neighbor-use dispute.</x:v>
      </x:c>
      <x:c r="O70" s="13" t="str"/>
      <x:c r="P70" s="13" t="str">
        <x:v>Paglilinaw sa shared wall ng magkadikit na bahay</x:v>
      </x:c>
      <x:c r="Q70" s="13" t="str">
        <x:v>Added to balance 'boundary/property' to 49 examples using the same Justice KP label schema.</x:v>
      </x:c>
      <x:c r="R70" s="13" t="str">
        <x:v>Synthetic row based on category coverage gap from uploaded PDF</x:v>
      </x:c>
    </x:row>
    <x:row r="71" ht="36" customHeight="1">
      <x:c r="A71" s="13" t="str">
        <x:v>SYN-PROP-010</x:v>
      </x:c>
      <x:c r="B71" s="13" t="str">
        <x:v>boundary/property</x:v>
      </x:c>
      <x:c r="C71" s="13" t="str">
        <x:v>Synthetic</x:v>
      </x:c>
      <x:c r="D71" s="13" t="str"/>
      <x:c r="E71" s="13" t="str">
        <x:v>Civil</x:v>
      </x:c>
      <x:c r="F71" s="13" t="str">
        <x:v>Alitan sa paggamit ng bakanteng lote bilang parking</x:v>
      </x:c>
      <x:c r="G71" s="13" t="str">
        <x:v>January 31, 2026</x:v>
      </x:c>
      <x:c r="H71" s="13" t="str">
        <x:v>-</x:v>
      </x:c>
      <x:c r="I71" s="13" t="str">
        <x:v>Synthetic example: parties are neighbors/residents; no prior court filing stated; for barangay mediation eligibility screening.</x:v>
      </x:c>
      <x:c r="J71" s="13" t="str">
        <x:v>For Mediation</x:v>
      </x:c>
      <x:c r="K71" s="13" t="str">
        <x:v>KP_COVERED_AMICABLE</x:v>
      </x:c>
      <x:c r="L71" s="13" t="str">
        <x:v>Eligible for KP screening</x:v>
      </x:c>
      <x:c r="M71" s="13" t="str">
        <x:v>Proceed to barangay conciliation / mediation screening</x:v>
      </x:c>
      <x:c r="N71" s="13" t="str">
        <x:v>Local property, boundary, access, or neighbor-use dispute.</x:v>
      </x:c>
      <x:c r="O71" s="13" t="str"/>
      <x:c r="P71" s="13" t="str">
        <x:v>Alitan sa paggamit ng bakanteng lote bilang parking</x:v>
      </x:c>
      <x:c r="Q71" s="13" t="str">
        <x:v>Added to balance 'boundary/property' to 49 examples using the same Justice KP label schema.</x:v>
      </x:c>
      <x:c r="R71" s="13" t="str">
        <x:v>Synthetic row based on category coverage gap from uploaded PDF</x:v>
      </x:c>
    </x:row>
    <x:row r="72" ht="36" customHeight="1">
      <x:c r="A72" s="13" t="str">
        <x:v>SYN-PROP-011</x:v>
      </x:c>
      <x:c r="B72" s="13" t="str">
        <x:v>boundary/property</x:v>
      </x:c>
      <x:c r="C72" s="13" t="str">
        <x:v>Synthetic</x:v>
      </x:c>
      <x:c r="D72" s="13" t="str"/>
      <x:c r="E72" s="13" t="str">
        <x:v>Civil</x:v>
      </x:c>
      <x:c r="F72" s="13" t="str">
        <x:v>Paglilinaw sa bakod na lumampas sa hangganan ng lote</x:v>
      </x:c>
      <x:c r="G72" s="13" t="str">
        <x:v>February 3, 2026</x:v>
      </x:c>
      <x:c r="H72" s="13" t="str">
        <x:v>-</x:v>
      </x:c>
      <x:c r="I72" s="13" t="str">
        <x:v>Synthetic example: parties are neighbors/residents; no prior court filing stated; for barangay mediation eligibility screening.</x:v>
      </x:c>
      <x:c r="J72" s="13" t="str">
        <x:v>For Mediation</x:v>
      </x:c>
      <x:c r="K72" s="13" t="str">
        <x:v>KP_COVERED_AMICABLE</x:v>
      </x:c>
      <x:c r="L72" s="13" t="str">
        <x:v>Eligible for KP screening</x:v>
      </x:c>
      <x:c r="M72" s="13" t="str">
        <x:v>Proceed to barangay conciliation / mediation screening</x:v>
      </x:c>
      <x:c r="N72" s="13" t="str">
        <x:v>Local property, boundary, access, or neighbor-use dispute.</x:v>
      </x:c>
      <x:c r="O72" s="13" t="str"/>
      <x:c r="P72" s="13" t="str">
        <x:v>Paglilinaw sa bakod na lumampas sa hangganan ng lote</x:v>
      </x:c>
      <x:c r="Q72" s="13" t="str">
        <x:v>Added to balance 'boundary/property' to 49 examples using the same Justice KP label schema.</x:v>
      </x:c>
      <x:c r="R72" s="13" t="str">
        <x:v>Synthetic row based on category coverage gap from uploaded PDF</x:v>
      </x:c>
    </x:row>
    <x:row r="73" ht="36" customHeight="1">
      <x:c r="A73" s="13" t="str">
        <x:v>SYN-PROP-012</x:v>
      </x:c>
      <x:c r="B73" s="13" t="str">
        <x:v>boundary/property</x:v>
      </x:c>
      <x:c r="C73" s="13" t="str">
        <x:v>Synthetic</x:v>
      </x:c>
      <x:c r="D73" s="13" t="str"/>
      <x:c r="E73" s="13" t="str">
        <x:v>Civil</x:v>
      </x:c>
      <x:c r="F73" s="13" t="str">
        <x:v>Alitan sa daanan papunta sa likod ng bahay</x:v>
      </x:c>
      <x:c r="G73" s="13" t="str">
        <x:v>February 6, 2026</x:v>
      </x:c>
      <x:c r="H73" s="13" t="str">
        <x:v>-</x:v>
      </x:c>
      <x:c r="I73" s="13" t="str">
        <x:v>Synthetic example: parties are neighbors/residents; no prior court filing stated; for barangay mediation eligibility screening.</x:v>
      </x:c>
      <x:c r="J73" s="13" t="str">
        <x:v>For Mediation</x:v>
      </x:c>
      <x:c r="K73" s="13" t="str">
        <x:v>KP_COVERED_AMICABLE</x:v>
      </x:c>
      <x:c r="L73" s="13" t="str">
        <x:v>Eligible for KP screening</x:v>
      </x:c>
      <x:c r="M73" s="13" t="str">
        <x:v>Proceed to barangay conciliation / mediation screening</x:v>
      </x:c>
      <x:c r="N73" s="13" t="str">
        <x:v>Local property, boundary, access, or neighbor-use dispute.</x:v>
      </x:c>
      <x:c r="O73" s="13" t="str"/>
      <x:c r="P73" s="13" t="str">
        <x:v>Alitan sa daanan papunta sa likod ng bahay</x:v>
      </x:c>
      <x:c r="Q73" s="13" t="str">
        <x:v>Added to balance 'boundary/property' to 49 examples using the same Justice KP label schema.</x:v>
      </x:c>
      <x:c r="R73" s="13" t="str">
        <x:v>Synthetic row based on category coverage gap from uploaded PDF</x:v>
      </x:c>
    </x:row>
    <x:row r="74" ht="36" customHeight="1">
      <x:c r="A74" s="13" t="str">
        <x:v>SYN-PROP-013</x:v>
      </x:c>
      <x:c r="B74" s="13" t="str">
        <x:v>boundary/property</x:v>
      </x:c>
      <x:c r="C74" s="13" t="str">
        <x:v>Synthetic</x:v>
      </x:c>
      <x:c r="D74" s="13" t="str"/>
      <x:c r="E74" s="13" t="str">
        <x:v>Civil</x:v>
      </x:c>
      <x:c r="F74" s="13" t="str">
        <x:v>Paglilinaw sa puno na nakapasok sa bakuran ng kapitbahay</x:v>
      </x:c>
      <x:c r="G74" s="13" t="str">
        <x:v>February 9, 2026</x:v>
      </x:c>
      <x:c r="H74" s="13" t="str">
        <x:v>-</x:v>
      </x:c>
      <x:c r="I74" s="13" t="str">
        <x:v>Synthetic example: parties are neighbors/residents; no prior court filing stated; for barangay mediation eligibility screening.</x:v>
      </x:c>
      <x:c r="J74" s="13" t="str">
        <x:v>For Mediation</x:v>
      </x:c>
      <x:c r="K74" s="13" t="str">
        <x:v>KP_COVERED_AMICABLE</x:v>
      </x:c>
      <x:c r="L74" s="13" t="str">
        <x:v>Eligible for KP screening</x:v>
      </x:c>
      <x:c r="M74" s="13" t="str">
        <x:v>Proceed to barangay conciliation / mediation screening</x:v>
      </x:c>
      <x:c r="N74" s="13" t="str">
        <x:v>Local property, boundary, access, or neighbor-use dispute.</x:v>
      </x:c>
      <x:c r="O74" s="13" t="str"/>
      <x:c r="P74" s="13" t="str">
        <x:v>Paglilinaw sa puno na nakapasok sa bakuran ng kapitbahay</x:v>
      </x:c>
      <x:c r="Q74" s="13" t="str">
        <x:v>Added to balance 'boundary/property' to 49 examples using the same Justice KP label schema.</x:v>
      </x:c>
      <x:c r="R74" s="13" t="str">
        <x:v>Synthetic row based on category coverage gap from uploaded PDF</x:v>
      </x:c>
    </x:row>
    <x:row r="75" ht="36" customHeight="1">
      <x:c r="A75" s="13" t="str">
        <x:v>SYN-PROP-014</x:v>
      </x:c>
      <x:c r="B75" s="13" t="str">
        <x:v>boundary/property</x:v>
      </x:c>
      <x:c r="C75" s="13" t="str">
        <x:v>Synthetic</x:v>
      </x:c>
      <x:c r="D75" s="13" t="str"/>
      <x:c r="E75" s="13" t="str">
        <x:v>Civil</x:v>
      </x:c>
      <x:c r="F75" s="13" t="str">
        <x:v>Hindi pagkakasundo sa linya ng kanal sa pagitan ng dalawang bahay</x:v>
      </x:c>
      <x:c r="G75" s="13" t="str">
        <x:v>February 12, 2026</x:v>
      </x:c>
      <x:c r="H75" s="13" t="str">
        <x:v>-</x:v>
      </x:c>
      <x:c r="I75" s="13" t="str">
        <x:v>Synthetic example: parties are neighbors/residents; no prior court filing stated; for barangay mediation eligibility screening.</x:v>
      </x:c>
      <x:c r="J75" s="13" t="str">
        <x:v>For Mediation</x:v>
      </x:c>
      <x:c r="K75" s="13" t="str">
        <x:v>KP_COVERED_AMICABLE</x:v>
      </x:c>
      <x:c r="L75" s="13" t="str">
        <x:v>Eligible for KP screening</x:v>
      </x:c>
      <x:c r="M75" s="13" t="str">
        <x:v>Proceed to barangay conciliation / mediation screening</x:v>
      </x:c>
      <x:c r="N75" s="13" t="str">
        <x:v>Local property, boundary, access, or neighbor-use dispute.</x:v>
      </x:c>
      <x:c r="O75" s="13" t="str"/>
      <x:c r="P75" s="13" t="str">
        <x:v>Hindi pagkakasundo sa linya ng kanal sa pagitan ng dalawang bahay</x:v>
      </x:c>
      <x:c r="Q75" s="13" t="str">
        <x:v>Added to balance 'boundary/property' to 49 examples using the same Justice KP label schema.</x:v>
      </x:c>
      <x:c r="R75" s="13" t="str">
        <x:v>Synthetic row based on category coverage gap from uploaded PDF</x:v>
      </x:c>
    </x:row>
    <x:row r="76" ht="36" customHeight="1">
      <x:c r="A76" s="13" t="str">
        <x:v>SYN-PROP-015</x:v>
      </x:c>
      <x:c r="B76" s="13" t="str">
        <x:v>boundary/property</x:v>
      </x:c>
      <x:c r="C76" s="13" t="str">
        <x:v>Synthetic</x:v>
      </x:c>
      <x:c r="D76" s="13" t="str"/>
      <x:c r="E76" s="13" t="str">
        <x:v>Civil</x:v>
      </x:c>
      <x:c r="F76" s="13" t="str">
        <x:v>Pag-aaway tungkol sa lupaing minana ng magkapatid</x:v>
      </x:c>
      <x:c r="G76" s="13" t="str">
        <x:v>February 15, 2026</x:v>
      </x:c>
      <x:c r="H76" s="13" t="str">
        <x:v>-</x:v>
      </x:c>
      <x:c r="I76" s="13" t="str">
        <x:v>Synthetic example: parties are neighbors/residents; no prior court filing stated; for barangay mediation eligibility screening.</x:v>
      </x:c>
      <x:c r="J76" s="13" t="str">
        <x:v>For Mediation</x:v>
      </x:c>
      <x:c r="K76" s="13" t="str">
        <x:v>KP_COVERED_AMICABLE</x:v>
      </x:c>
      <x:c r="L76" s="13" t="str">
        <x:v>Eligible for KP screening</x:v>
      </x:c>
      <x:c r="M76" s="13" t="str">
        <x:v>Proceed to barangay conciliation / mediation screening</x:v>
      </x:c>
      <x:c r="N76" s="13" t="str">
        <x:v>Local property, boundary, access, or neighbor-use dispute.</x:v>
      </x:c>
      <x:c r="O76" s="13" t="str"/>
      <x:c r="P76" s="13" t="str">
        <x:v>Pag-aaway tungkol sa lupaing minana ng magkapatid</x:v>
      </x:c>
      <x:c r="Q76" s="13" t="str">
        <x:v>Added to balance 'boundary/property' to 49 examples using the same Justice KP label schema.</x:v>
      </x:c>
      <x:c r="R76" s="13" t="str">
        <x:v>Synthetic row based on category coverage gap from uploaded PDF</x:v>
      </x:c>
    </x:row>
    <x:row r="77" ht="36" customHeight="1">
      <x:c r="A77" s="13" t="str">
        <x:v>SYN-PROP-016</x:v>
      </x:c>
      <x:c r="B77" s="13" t="str">
        <x:v>boundary/property</x:v>
      </x:c>
      <x:c r="C77" s="13" t="str">
        <x:v>Synthetic</x:v>
      </x:c>
      <x:c r="D77" s="13" t="str"/>
      <x:c r="E77" s="13" t="str">
        <x:v>Civil</x:v>
      </x:c>
      <x:c r="F77" s="13" t="str">
        <x:v>Paglilinaw sa sukat ng lote matapos magpagawa ng bakod</x:v>
      </x:c>
      <x:c r="G77" s="13" t="str">
        <x:v>February 18, 2026</x:v>
      </x:c>
      <x:c r="H77" s="13" t="str">
        <x:v>-</x:v>
      </x:c>
      <x:c r="I77" s="13" t="str">
        <x:v>Synthetic example: parties are neighbors/residents; no prior court filing stated; for barangay mediation eligibility screening.</x:v>
      </x:c>
      <x:c r="J77" s="13" t="str">
        <x:v>For Mediation</x:v>
      </x:c>
      <x:c r="K77" s="13" t="str">
        <x:v>KP_COVERED_AMICABLE</x:v>
      </x:c>
      <x:c r="L77" s="13" t="str">
        <x:v>Eligible for KP screening</x:v>
      </x:c>
      <x:c r="M77" s="13" t="str">
        <x:v>Proceed to barangay conciliation / mediation screening</x:v>
      </x:c>
      <x:c r="N77" s="13" t="str">
        <x:v>Local property, boundary, access, or neighbor-use dispute.</x:v>
      </x:c>
      <x:c r="O77" s="13" t="str"/>
      <x:c r="P77" s="13" t="str">
        <x:v>Paglilinaw sa sukat ng lote matapos magpagawa ng bakod</x:v>
      </x:c>
      <x:c r="Q77" s="13" t="str">
        <x:v>Added to balance 'boundary/property' to 49 examples using the same Justice KP label schema.</x:v>
      </x:c>
      <x:c r="R77" s="13" t="str">
        <x:v>Synthetic row based on category coverage gap from uploaded PDF</x:v>
      </x:c>
    </x:row>
    <x:row r="78" ht="36" customHeight="1">
      <x:c r="A78" s="13" t="str">
        <x:v>SYN-PROP-017</x:v>
      </x:c>
      <x:c r="B78" s="13" t="str">
        <x:v>boundary/property</x:v>
      </x:c>
      <x:c r="C78" s="13" t="str">
        <x:v>Synthetic</x:v>
      </x:c>
      <x:c r="D78" s="13" t="str"/>
      <x:c r="E78" s="13" t="str">
        <x:v>Civil</x:v>
      </x:c>
      <x:c r="F78" s="13" t="str">
        <x:v>Pagharang sa dating daanan ng pamilya papunta sa kalsada</x:v>
      </x:c>
      <x:c r="G78" s="13" t="str">
        <x:v>February 21, 2026</x:v>
      </x:c>
      <x:c r="H78" s="13" t="str">
        <x:v>-</x:v>
      </x:c>
      <x:c r="I78" s="13" t="str">
        <x:v>Synthetic example: parties are neighbors/residents; no prior court filing stated; for barangay mediation eligibility screening.</x:v>
      </x:c>
      <x:c r="J78" s="13" t="str">
        <x:v>For Mediation</x:v>
      </x:c>
      <x:c r="K78" s="13" t="str">
        <x:v>KP_COVERED_AMICABLE</x:v>
      </x:c>
      <x:c r="L78" s="13" t="str">
        <x:v>Eligible for KP screening</x:v>
      </x:c>
      <x:c r="M78" s="13" t="str">
        <x:v>Proceed to barangay conciliation / mediation screening</x:v>
      </x:c>
      <x:c r="N78" s="13" t="str">
        <x:v>Local property, boundary, access, or neighbor-use dispute.</x:v>
      </x:c>
      <x:c r="O78" s="13" t="str"/>
      <x:c r="P78" s="13" t="str">
        <x:v>Pagharang sa dating daanan ng pamilya papunta sa kalsada</x:v>
      </x:c>
      <x:c r="Q78" s="13" t="str">
        <x:v>Added to balance 'boundary/property' to 49 examples using the same Justice KP label schema.</x:v>
      </x:c>
      <x:c r="R78" s="13" t="str">
        <x:v>Synthetic row based on category coverage gap from uploaded PDF</x:v>
      </x:c>
    </x:row>
    <x:row r="79" ht="36" customHeight="1">
      <x:c r="A79" s="13" t="str">
        <x:v>SYN-PROP-018</x:v>
      </x:c>
      <x:c r="B79" s="13" t="str">
        <x:v>boundary/property</x:v>
      </x:c>
      <x:c r="C79" s="13" t="str">
        <x:v>Synthetic</x:v>
      </x:c>
      <x:c r="D79" s="13" t="str"/>
      <x:c r="E79" s="13" t="str">
        <x:v>Civil</x:v>
      </x:c>
      <x:c r="F79" s="13" t="str">
        <x:v>Reklamo sa pag-agos ng tubig mula sa bakuran ng kapitbahay</x:v>
      </x:c>
      <x:c r="G79" s="13" t="str">
        <x:v>February 24, 2026</x:v>
      </x:c>
      <x:c r="H79" s="13" t="str">
        <x:v>-</x:v>
      </x:c>
      <x:c r="I79" s="13" t="str">
        <x:v>Synthetic example: parties are neighbors/residents; no prior court filing stated; for barangay mediation eligibility screening.</x:v>
      </x:c>
      <x:c r="J79" s="13" t="str">
        <x:v>For Mediation</x:v>
      </x:c>
      <x:c r="K79" s="13" t="str">
        <x:v>KP_COVERED_AMICABLE</x:v>
      </x:c>
      <x:c r="L79" s="13" t="str">
        <x:v>Eligible for KP screening</x:v>
      </x:c>
      <x:c r="M79" s="13" t="str">
        <x:v>Proceed to barangay conciliation / mediation screening</x:v>
      </x:c>
      <x:c r="N79" s="13" t="str">
        <x:v>Local property, boundary, access, or neighbor-use dispute.</x:v>
      </x:c>
      <x:c r="O79" s="13" t="str"/>
      <x:c r="P79" s="13" t="str">
        <x:v>Reklamo sa pag-agos ng tubig mula sa bakuran ng kapitbahay</x:v>
      </x:c>
      <x:c r="Q79" s="13" t="str">
        <x:v>Added to balance 'boundary/property' to 49 examples using the same Justice KP label schema.</x:v>
      </x:c>
      <x:c r="R79" s="13" t="str">
        <x:v>Synthetic row based on category coverage gap from uploaded PDF</x:v>
      </x:c>
    </x:row>
    <x:row r="80" ht="36" customHeight="1">
      <x:c r="A80" s="13" t="str">
        <x:v>SYN-PROP-019</x:v>
      </x:c>
      <x:c r="B80" s="13" t="str">
        <x:v>boundary/property</x:v>
      </x:c>
      <x:c r="C80" s="13" t="str">
        <x:v>Synthetic</x:v>
      </x:c>
      <x:c r="D80" s="13" t="str"/>
      <x:c r="E80" s="13" t="str">
        <x:v>Civil</x:v>
      </x:c>
      <x:c r="F80" s="13" t="str">
        <x:v>Paglilinaw sa shared wall ng magkadikit na bahay</x:v>
      </x:c>
      <x:c r="G80" s="13" t="str">
        <x:v>February 27, 2026</x:v>
      </x:c>
      <x:c r="H80" s="13" t="str">
        <x:v>-</x:v>
      </x:c>
      <x:c r="I80" s="13" t="str">
        <x:v>Synthetic example: parties are neighbors/residents; no prior court filing stated; for barangay mediation eligibility screening.</x:v>
      </x:c>
      <x:c r="J80" s="13" t="str">
        <x:v>For Mediation</x:v>
      </x:c>
      <x:c r="K80" s="13" t="str">
        <x:v>KP_COVERED_AMICABLE</x:v>
      </x:c>
      <x:c r="L80" s="13" t="str">
        <x:v>Eligible for KP screening</x:v>
      </x:c>
      <x:c r="M80" s="13" t="str">
        <x:v>Proceed to barangay conciliation / mediation screening</x:v>
      </x:c>
      <x:c r="N80" s="13" t="str">
        <x:v>Local property, boundary, access, or neighbor-use dispute.</x:v>
      </x:c>
      <x:c r="O80" s="13" t="str"/>
      <x:c r="P80" s="13" t="str">
        <x:v>Paglilinaw sa shared wall ng magkadikit na bahay</x:v>
      </x:c>
      <x:c r="Q80" s="13" t="str">
        <x:v>Added to balance 'boundary/property' to 49 examples using the same Justice KP label schema.</x:v>
      </x:c>
      <x:c r="R80" s="13" t="str">
        <x:v>Synthetic row based on category coverage gap from uploaded PDF</x:v>
      </x:c>
    </x:row>
    <x:row r="81" ht="36" customHeight="1">
      <x:c r="A81" s="13" t="str">
        <x:v>SYN-PROP-020</x:v>
      </x:c>
      <x:c r="B81" s="13" t="str">
        <x:v>boundary/property</x:v>
      </x:c>
      <x:c r="C81" s="13" t="str">
        <x:v>Synthetic</x:v>
      </x:c>
      <x:c r="D81" s="13" t="str"/>
      <x:c r="E81" s="13" t="str">
        <x:v>Civil</x:v>
      </x:c>
      <x:c r="F81" s="13" t="str">
        <x:v>Alitan sa paggamit ng bakanteng lote bilang parking</x:v>
      </x:c>
      <x:c r="G81" s="13" t="str">
        <x:v>March 2, 2026</x:v>
      </x:c>
      <x:c r="H81" s="13" t="str">
        <x:v>-</x:v>
      </x:c>
      <x:c r="I81" s="13" t="str">
        <x:v>Synthetic example: parties are neighbors/residents; no prior court filing stated; for barangay mediation eligibility screening.</x:v>
      </x:c>
      <x:c r="J81" s="13" t="str">
        <x:v>For Mediation</x:v>
      </x:c>
      <x:c r="K81" s="13" t="str">
        <x:v>KP_COVERED_AMICABLE</x:v>
      </x:c>
      <x:c r="L81" s="13" t="str">
        <x:v>Eligible for KP screening</x:v>
      </x:c>
      <x:c r="M81" s="13" t="str">
        <x:v>Proceed to barangay conciliation / mediation screening</x:v>
      </x:c>
      <x:c r="N81" s="13" t="str">
        <x:v>Local property, boundary, access, or neighbor-use dispute.</x:v>
      </x:c>
      <x:c r="O81" s="13" t="str"/>
      <x:c r="P81" s="13" t="str">
        <x:v>Alitan sa paggamit ng bakanteng lote bilang parking</x:v>
      </x:c>
      <x:c r="Q81" s="13" t="str">
        <x:v>Added to balance 'boundary/property' to 49 examples using the same Justice KP label schema.</x:v>
      </x:c>
      <x:c r="R81" s="13" t="str">
        <x:v>Synthetic row based on category coverage gap from uploaded PDF</x:v>
      </x:c>
    </x:row>
    <x:row r="82" ht="36" customHeight="1">
      <x:c r="A82" s="13" t="str">
        <x:v>SYN-PROP-021</x:v>
      </x:c>
      <x:c r="B82" s="13" t="str">
        <x:v>boundary/property</x:v>
      </x:c>
      <x:c r="C82" s="13" t="str">
        <x:v>Synthetic</x:v>
      </x:c>
      <x:c r="D82" s="13" t="str"/>
      <x:c r="E82" s="13" t="str">
        <x:v>Civil</x:v>
      </x:c>
      <x:c r="F82" s="13" t="str">
        <x:v>Paglilinaw sa bakod na lumampas sa hangganan ng lote</x:v>
      </x:c>
      <x:c r="G82" s="13" t="str">
        <x:v>March 5, 2026</x:v>
      </x:c>
      <x:c r="H82" s="13" t="str">
        <x:v>-</x:v>
      </x:c>
      <x:c r="I82" s="13" t="str">
        <x:v>Synthetic example: parties are neighbors/residents; no prior court filing stated; for barangay mediation eligibility screening.</x:v>
      </x:c>
      <x:c r="J82" s="13" t="str">
        <x:v>For Mediation</x:v>
      </x:c>
      <x:c r="K82" s="13" t="str">
        <x:v>KP_COVERED_AMICABLE</x:v>
      </x:c>
      <x:c r="L82" s="13" t="str">
        <x:v>Eligible for KP screening</x:v>
      </x:c>
      <x:c r="M82" s="13" t="str">
        <x:v>Proceed to barangay conciliation / mediation screening</x:v>
      </x:c>
      <x:c r="N82" s="13" t="str">
        <x:v>Local property, boundary, access, or neighbor-use dispute.</x:v>
      </x:c>
      <x:c r="O82" s="13" t="str"/>
      <x:c r="P82" s="13" t="str">
        <x:v>Paglilinaw sa bakod na lumampas sa hangganan ng lote</x:v>
      </x:c>
      <x:c r="Q82" s="13" t="str">
        <x:v>Added to balance 'boundary/property' to 49 examples using the same Justice KP label schema.</x:v>
      </x:c>
      <x:c r="R82" s="13" t="str">
        <x:v>Synthetic row based on category coverage gap from uploaded PDF</x:v>
      </x:c>
    </x:row>
    <x:row r="83" ht="36" customHeight="1">
      <x:c r="A83" s="13" t="str">
        <x:v>SYN-PROP-022</x:v>
      </x:c>
      <x:c r="B83" s="13" t="str">
        <x:v>boundary/property</x:v>
      </x:c>
      <x:c r="C83" s="13" t="str">
        <x:v>Synthetic</x:v>
      </x:c>
      <x:c r="D83" s="13" t="str"/>
      <x:c r="E83" s="13" t="str">
        <x:v>Civil</x:v>
      </x:c>
      <x:c r="F83" s="13" t="str">
        <x:v>Alitan sa daanan papunta sa likod ng bahay</x:v>
      </x:c>
      <x:c r="G83" s="13" t="str">
        <x:v>March 8, 2026</x:v>
      </x:c>
      <x:c r="H83" s="13" t="str">
        <x:v>-</x:v>
      </x:c>
      <x:c r="I83" s="13" t="str">
        <x:v>Synthetic example: parties are neighbors/residents; no prior court filing stated; for barangay mediation eligibility screening.</x:v>
      </x:c>
      <x:c r="J83" s="13" t="str">
        <x:v>For Mediation</x:v>
      </x:c>
      <x:c r="K83" s="13" t="str">
        <x:v>KP_COVERED_AMICABLE</x:v>
      </x:c>
      <x:c r="L83" s="13" t="str">
        <x:v>Eligible for KP screening</x:v>
      </x:c>
      <x:c r="M83" s="13" t="str">
        <x:v>Proceed to barangay conciliation / mediation screening</x:v>
      </x:c>
      <x:c r="N83" s="13" t="str">
        <x:v>Local property, boundary, access, or neighbor-use dispute.</x:v>
      </x:c>
      <x:c r="O83" s="13" t="str"/>
      <x:c r="P83" s="13" t="str">
        <x:v>Alitan sa daanan papunta sa likod ng bahay</x:v>
      </x:c>
      <x:c r="Q83" s="13" t="str">
        <x:v>Added to balance 'boundary/property' to 49 examples using the same Justice KP label schema.</x:v>
      </x:c>
      <x:c r="R83" s="13" t="str">
        <x:v>Synthetic row based on category coverage gap from uploaded PDF</x:v>
      </x:c>
    </x:row>
    <x:row r="84" ht="36" customHeight="1">
      <x:c r="A84" s="13" t="str">
        <x:v>SYN-PROP-023</x:v>
      </x:c>
      <x:c r="B84" s="13" t="str">
        <x:v>boundary/property</x:v>
      </x:c>
      <x:c r="C84" s="13" t="str">
        <x:v>Synthetic</x:v>
      </x:c>
      <x:c r="D84" s="13" t="str"/>
      <x:c r="E84" s="13" t="str">
        <x:v>Civil</x:v>
      </x:c>
      <x:c r="F84" s="13" t="str">
        <x:v>Paglilinaw sa puno na nakapasok sa bakuran ng kapitbahay</x:v>
      </x:c>
      <x:c r="G84" s="13" t="str">
        <x:v>March 11, 2026</x:v>
      </x:c>
      <x:c r="H84" s="13" t="str">
        <x:v>-</x:v>
      </x:c>
      <x:c r="I84" s="13" t="str">
        <x:v>Synthetic example: parties are neighbors/residents; no prior court filing stated; for barangay mediation eligibility screening.</x:v>
      </x:c>
      <x:c r="J84" s="13" t="str">
        <x:v>For Mediation</x:v>
      </x:c>
      <x:c r="K84" s="13" t="str">
        <x:v>KP_COVERED_AMICABLE</x:v>
      </x:c>
      <x:c r="L84" s="13" t="str">
        <x:v>Eligible for KP screening</x:v>
      </x:c>
      <x:c r="M84" s="13" t="str">
        <x:v>Proceed to barangay conciliation / mediation screening</x:v>
      </x:c>
      <x:c r="N84" s="13" t="str">
        <x:v>Local property, boundary, access, or neighbor-use dispute.</x:v>
      </x:c>
      <x:c r="O84" s="13" t="str"/>
      <x:c r="P84" s="13" t="str">
        <x:v>Paglilinaw sa puno na nakapasok sa bakuran ng kapitbahay</x:v>
      </x:c>
      <x:c r="Q84" s="13" t="str">
        <x:v>Added to balance 'boundary/property' to 49 examples using the same Justice KP label schema.</x:v>
      </x:c>
      <x:c r="R84" s="13" t="str">
        <x:v>Synthetic row based on category coverage gap from uploaded PDF</x:v>
      </x:c>
    </x:row>
    <x:row r="85" ht="36" customHeight="1">
      <x:c r="A85" s="13" t="str">
        <x:v>SYN-PROP-024</x:v>
      </x:c>
      <x:c r="B85" s="13" t="str">
        <x:v>boundary/property</x:v>
      </x:c>
      <x:c r="C85" s="13" t="str">
        <x:v>Synthetic</x:v>
      </x:c>
      <x:c r="D85" s="13" t="str"/>
      <x:c r="E85" s="13" t="str">
        <x:v>Civil</x:v>
      </x:c>
      <x:c r="F85" s="13" t="str">
        <x:v>Hindi pagkakasundo sa linya ng kanal sa pagitan ng dalawang bahay</x:v>
      </x:c>
      <x:c r="G85" s="13" t="str">
        <x:v>March 14, 2026</x:v>
      </x:c>
      <x:c r="H85" s="13" t="str">
        <x:v>-</x:v>
      </x:c>
      <x:c r="I85" s="13" t="str">
        <x:v>Synthetic example: parties are neighbors/residents; no prior court filing stated; for barangay mediation eligibility screening.</x:v>
      </x:c>
      <x:c r="J85" s="13" t="str">
        <x:v>For Mediation</x:v>
      </x:c>
      <x:c r="K85" s="13" t="str">
        <x:v>KP_COVERED_AMICABLE</x:v>
      </x:c>
      <x:c r="L85" s="13" t="str">
        <x:v>Eligible for KP screening</x:v>
      </x:c>
      <x:c r="M85" s="13" t="str">
        <x:v>Proceed to barangay conciliation / mediation screening</x:v>
      </x:c>
      <x:c r="N85" s="13" t="str">
        <x:v>Local property, boundary, access, or neighbor-use dispute.</x:v>
      </x:c>
      <x:c r="O85" s="13" t="str"/>
      <x:c r="P85" s="13" t="str">
        <x:v>Hindi pagkakasundo sa linya ng kanal sa pagitan ng dalawang bahay</x:v>
      </x:c>
      <x:c r="Q85" s="13" t="str">
        <x:v>Added to balance 'boundary/property' to 49 examples using the same Justice KP label schema.</x:v>
      </x:c>
      <x:c r="R85" s="13" t="str">
        <x:v>Synthetic row based on category coverage gap from uploaded PDF</x:v>
      </x:c>
    </x:row>
    <x:row r="86" ht="36" customHeight="1">
      <x:c r="A86" s="13" t="str">
        <x:v>SYN-PROP-025</x:v>
      </x:c>
      <x:c r="B86" s="13" t="str">
        <x:v>boundary/property</x:v>
      </x:c>
      <x:c r="C86" s="13" t="str">
        <x:v>Synthetic</x:v>
      </x:c>
      <x:c r="D86" s="13" t="str"/>
      <x:c r="E86" s="13" t="str">
        <x:v>Civil</x:v>
      </x:c>
      <x:c r="F86" s="13" t="str">
        <x:v>Pag-aaway tungkol sa lupaing minana ng magkapatid</x:v>
      </x:c>
      <x:c r="G86" s="13" t="str">
        <x:v>March 17, 2026</x:v>
      </x:c>
      <x:c r="H86" s="13" t="str">
        <x:v>-</x:v>
      </x:c>
      <x:c r="I86" s="13" t="str">
        <x:v>Synthetic example: parties are neighbors/residents; no prior court filing stated; for barangay mediation eligibility screening.</x:v>
      </x:c>
      <x:c r="J86" s="13" t="str">
        <x:v>For Mediation</x:v>
      </x:c>
      <x:c r="K86" s="13" t="str">
        <x:v>KP_COVERED_AMICABLE</x:v>
      </x:c>
      <x:c r="L86" s="13" t="str">
        <x:v>Eligible for KP screening</x:v>
      </x:c>
      <x:c r="M86" s="13" t="str">
        <x:v>Proceed to barangay conciliation / mediation screening</x:v>
      </x:c>
      <x:c r="N86" s="13" t="str">
        <x:v>Local property, boundary, access, or neighbor-use dispute.</x:v>
      </x:c>
      <x:c r="O86" s="13" t="str"/>
      <x:c r="P86" s="13" t="str">
        <x:v>Pag-aaway tungkol sa lupaing minana ng magkapatid</x:v>
      </x:c>
      <x:c r="Q86" s="13" t="str">
        <x:v>Added to balance 'boundary/property' to 49 examples using the same Justice KP label schema.</x:v>
      </x:c>
      <x:c r="R86" s="13" t="str">
        <x:v>Synthetic row based on category coverage gap from uploaded PDF</x:v>
      </x:c>
    </x:row>
    <x:row r="87" ht="36" customHeight="1">
      <x:c r="A87" s="13" t="str">
        <x:v>SYN-PROP-026</x:v>
      </x:c>
      <x:c r="B87" s="13" t="str">
        <x:v>boundary/property</x:v>
      </x:c>
      <x:c r="C87" s="13" t="str">
        <x:v>Synthetic</x:v>
      </x:c>
      <x:c r="D87" s="13" t="str"/>
      <x:c r="E87" s="13" t="str">
        <x:v>Civil</x:v>
      </x:c>
      <x:c r="F87" s="13" t="str">
        <x:v>Paglilinaw sa sukat ng lote matapos magpagawa ng bakod</x:v>
      </x:c>
      <x:c r="G87" s="13" t="str">
        <x:v>March 20, 2026</x:v>
      </x:c>
      <x:c r="H87" s="13" t="str">
        <x:v>-</x:v>
      </x:c>
      <x:c r="I87" s="13" t="str">
        <x:v>Synthetic example: parties are neighbors/residents; no prior court filing stated; for barangay mediation eligibility screening.</x:v>
      </x:c>
      <x:c r="J87" s="13" t="str">
        <x:v>For Mediation</x:v>
      </x:c>
      <x:c r="K87" s="13" t="str">
        <x:v>KP_COVERED_AMICABLE</x:v>
      </x:c>
      <x:c r="L87" s="13" t="str">
        <x:v>Eligible for KP screening</x:v>
      </x:c>
      <x:c r="M87" s="13" t="str">
        <x:v>Proceed to barangay conciliation / mediation screening</x:v>
      </x:c>
      <x:c r="N87" s="13" t="str">
        <x:v>Local property, boundary, access, or neighbor-use dispute.</x:v>
      </x:c>
      <x:c r="O87" s="13" t="str"/>
      <x:c r="P87" s="13" t="str">
        <x:v>Paglilinaw sa sukat ng lote matapos magpagawa ng bakod</x:v>
      </x:c>
      <x:c r="Q87" s="13" t="str">
        <x:v>Added to balance 'boundary/property' to 49 examples using the same Justice KP label schema.</x:v>
      </x:c>
      <x:c r="R87" s="13" t="str">
        <x:v>Synthetic row based on category coverage gap from uploaded PDF</x:v>
      </x:c>
    </x:row>
    <x:row r="88" ht="36" customHeight="1">
      <x:c r="A88" s="13" t="str">
        <x:v>SYN-PROP-027</x:v>
      </x:c>
      <x:c r="B88" s="13" t="str">
        <x:v>boundary/property</x:v>
      </x:c>
      <x:c r="C88" s="13" t="str">
        <x:v>Synthetic</x:v>
      </x:c>
      <x:c r="D88" s="13" t="str"/>
      <x:c r="E88" s="13" t="str">
        <x:v>Civil</x:v>
      </x:c>
      <x:c r="F88" s="13" t="str">
        <x:v>Pagharang sa dating daanan ng pamilya papunta sa kalsada</x:v>
      </x:c>
      <x:c r="G88" s="13" t="str">
        <x:v>March 23, 2026</x:v>
      </x:c>
      <x:c r="H88" s="13" t="str">
        <x:v>-</x:v>
      </x:c>
      <x:c r="I88" s="13" t="str">
        <x:v>Synthetic example: parties are neighbors/residents; no prior court filing stated; for barangay mediation eligibility screening.</x:v>
      </x:c>
      <x:c r="J88" s="13" t="str">
        <x:v>For Mediation</x:v>
      </x:c>
      <x:c r="K88" s="13" t="str">
        <x:v>KP_COVERED_AMICABLE</x:v>
      </x:c>
      <x:c r="L88" s="13" t="str">
        <x:v>Eligible for KP screening</x:v>
      </x:c>
      <x:c r="M88" s="13" t="str">
        <x:v>Proceed to barangay conciliation / mediation screening</x:v>
      </x:c>
      <x:c r="N88" s="13" t="str">
        <x:v>Local property, boundary, access, or neighbor-use dispute.</x:v>
      </x:c>
      <x:c r="O88" s="13" t="str"/>
      <x:c r="P88" s="13" t="str">
        <x:v>Pagharang sa dating daanan ng pamilya papunta sa kalsada</x:v>
      </x:c>
      <x:c r="Q88" s="13" t="str">
        <x:v>Added to balance 'boundary/property' to 49 examples using the same Justice KP label schema.</x:v>
      </x:c>
      <x:c r="R88" s="13" t="str">
        <x:v>Synthetic row based on category coverage gap from uploaded PDF</x:v>
      </x:c>
    </x:row>
    <x:row r="89" ht="36" customHeight="1">
      <x:c r="A89" s="13" t="str">
        <x:v>SYN-PROP-028</x:v>
      </x:c>
      <x:c r="B89" s="13" t="str">
        <x:v>boundary/property</x:v>
      </x:c>
      <x:c r="C89" s="13" t="str">
        <x:v>Synthetic</x:v>
      </x:c>
      <x:c r="D89" s="13" t="str"/>
      <x:c r="E89" s="13" t="str">
        <x:v>Civil</x:v>
      </x:c>
      <x:c r="F89" s="13" t="str">
        <x:v>Reklamo sa pag-agos ng tubig mula sa bakuran ng kapitbahay</x:v>
      </x:c>
      <x:c r="G89" s="13" t="str">
        <x:v>March 26, 2026</x:v>
      </x:c>
      <x:c r="H89" s="13" t="str">
        <x:v>-</x:v>
      </x:c>
      <x:c r="I89" s="13" t="str">
        <x:v>Synthetic example: parties are neighbors/residents; no prior court filing stated; for barangay mediation eligibility screening.</x:v>
      </x:c>
      <x:c r="J89" s="13" t="str">
        <x:v>For Mediation</x:v>
      </x:c>
      <x:c r="K89" s="13" t="str">
        <x:v>KP_COVERED_AMICABLE</x:v>
      </x:c>
      <x:c r="L89" s="13" t="str">
        <x:v>Eligible for KP screening</x:v>
      </x:c>
      <x:c r="M89" s="13" t="str">
        <x:v>Proceed to barangay conciliation / mediation screening</x:v>
      </x:c>
      <x:c r="N89" s="13" t="str">
        <x:v>Local property, boundary, access, or neighbor-use dispute.</x:v>
      </x:c>
      <x:c r="O89" s="13" t="str"/>
      <x:c r="P89" s="13" t="str">
        <x:v>Reklamo sa pag-agos ng tubig mula sa bakuran ng kapitbahay</x:v>
      </x:c>
      <x:c r="Q89" s="13" t="str">
        <x:v>Added to balance 'boundary/property' to 49 examples using the same Justice KP label schema.</x:v>
      </x:c>
      <x:c r="R89" s="13" t="str">
        <x:v>Synthetic row based on category coverage gap from uploaded PDF</x:v>
      </x:c>
    </x:row>
    <x:row r="90" ht="36" customHeight="1">
      <x:c r="A90" s="13" t="str">
        <x:v>SYN-PROP-029</x:v>
      </x:c>
      <x:c r="B90" s="13" t="str">
        <x:v>boundary/property</x:v>
      </x:c>
      <x:c r="C90" s="13" t="str">
        <x:v>Synthetic</x:v>
      </x:c>
      <x:c r="D90" s="13" t="str"/>
      <x:c r="E90" s="13" t="str">
        <x:v>Civil</x:v>
      </x:c>
      <x:c r="F90" s="13" t="str">
        <x:v>Paglilinaw sa shared wall ng magkadikit na bahay</x:v>
      </x:c>
      <x:c r="G90" s="13" t="str">
        <x:v>March 29, 2026</x:v>
      </x:c>
      <x:c r="H90" s="13" t="str">
        <x:v>-</x:v>
      </x:c>
      <x:c r="I90" s="13" t="str">
        <x:v>Synthetic example: parties are neighbors/residents; no prior court filing stated; for barangay mediation eligibility screening.</x:v>
      </x:c>
      <x:c r="J90" s="13" t="str">
        <x:v>For Mediation</x:v>
      </x:c>
      <x:c r="K90" s="13" t="str">
        <x:v>KP_COVERED_AMICABLE</x:v>
      </x:c>
      <x:c r="L90" s="13" t="str">
        <x:v>Eligible for KP screening</x:v>
      </x:c>
      <x:c r="M90" s="13" t="str">
        <x:v>Proceed to barangay conciliation / mediation screening</x:v>
      </x:c>
      <x:c r="N90" s="13" t="str">
        <x:v>Local property, boundary, access, or neighbor-use dispute.</x:v>
      </x:c>
      <x:c r="O90" s="13" t="str"/>
      <x:c r="P90" s="13" t="str">
        <x:v>Paglilinaw sa shared wall ng magkadikit na bahay</x:v>
      </x:c>
      <x:c r="Q90" s="13" t="str">
        <x:v>Added to balance 'boundary/property' to 49 examples using the same Justice KP label schema.</x:v>
      </x:c>
      <x:c r="R90" s="13" t="str">
        <x:v>Synthetic row based on category coverage gap from uploaded PDF</x:v>
      </x:c>
    </x:row>
    <x:row r="91" ht="36" customHeight="1">
      <x:c r="A91" s="13" t="str">
        <x:v>SYN-PROP-030</x:v>
      </x:c>
      <x:c r="B91" s="13" t="str">
        <x:v>boundary/property</x:v>
      </x:c>
      <x:c r="C91" s="13" t="str">
        <x:v>Synthetic</x:v>
      </x:c>
      <x:c r="D91" s="13" t="str"/>
      <x:c r="E91" s="13" t="str">
        <x:v>Civil</x:v>
      </x:c>
      <x:c r="F91" s="13" t="str">
        <x:v>Alitan sa paggamit ng bakanteng lote bilang parking</x:v>
      </x:c>
      <x:c r="G91" s="13" t="str">
        <x:v>April 1, 2026</x:v>
      </x:c>
      <x:c r="H91" s="13" t="str">
        <x:v>-</x:v>
      </x:c>
      <x:c r="I91" s="13" t="str">
        <x:v>Synthetic example: parties are neighbors/residents; no prior court filing stated; for barangay mediation eligibility screening.</x:v>
      </x:c>
      <x:c r="J91" s="13" t="str">
        <x:v>For Mediation</x:v>
      </x:c>
      <x:c r="K91" s="13" t="str">
        <x:v>KP_COVERED_AMICABLE</x:v>
      </x:c>
      <x:c r="L91" s="13" t="str">
        <x:v>Eligible for KP screening</x:v>
      </x:c>
      <x:c r="M91" s="13" t="str">
        <x:v>Proceed to barangay conciliation / mediation screening</x:v>
      </x:c>
      <x:c r="N91" s="13" t="str">
        <x:v>Local property, boundary, access, or neighbor-use dispute.</x:v>
      </x:c>
      <x:c r="O91" s="13" t="str"/>
      <x:c r="P91" s="13" t="str">
        <x:v>Alitan sa paggamit ng bakanteng lote bilang parking</x:v>
      </x:c>
      <x:c r="Q91" s="13" t="str">
        <x:v>Added to balance 'boundary/property' to 49 examples using the same Justice KP label schema.</x:v>
      </x:c>
      <x:c r="R91" s="13" t="str">
        <x:v>Synthetic row based on category coverage gap from uploaded PDF</x:v>
      </x:c>
    </x:row>
    <x:row r="92" ht="36" customHeight="1">
      <x:c r="A92" s="13" t="str">
        <x:v>SYN-PROP-031</x:v>
      </x:c>
      <x:c r="B92" s="13" t="str">
        <x:v>boundary/property</x:v>
      </x:c>
      <x:c r="C92" s="13" t="str">
        <x:v>Synthetic</x:v>
      </x:c>
      <x:c r="D92" s="13" t="str"/>
      <x:c r="E92" s="13" t="str">
        <x:v>Civil</x:v>
      </x:c>
      <x:c r="F92" s="13" t="str">
        <x:v>Paglilinaw sa bakod na lumampas sa hangganan ng lote</x:v>
      </x:c>
      <x:c r="G92" s="13" t="str">
        <x:v>April 4, 2026</x:v>
      </x:c>
      <x:c r="H92" s="13" t="str">
        <x:v>-</x:v>
      </x:c>
      <x:c r="I92" s="13" t="str">
        <x:v>Synthetic example: parties are neighbors/residents; no prior court filing stated; for barangay mediation eligibility screening.</x:v>
      </x:c>
      <x:c r="J92" s="13" t="str">
        <x:v>For Mediation</x:v>
      </x:c>
      <x:c r="K92" s="13" t="str">
        <x:v>KP_COVERED_AMICABLE</x:v>
      </x:c>
      <x:c r="L92" s="13" t="str">
        <x:v>Eligible for KP screening</x:v>
      </x:c>
      <x:c r="M92" s="13" t="str">
        <x:v>Proceed to barangay conciliation / mediation screening</x:v>
      </x:c>
      <x:c r="N92" s="13" t="str">
        <x:v>Local property, boundary, access, or neighbor-use dispute.</x:v>
      </x:c>
      <x:c r="O92" s="13" t="str"/>
      <x:c r="P92" s="13" t="str">
        <x:v>Paglilinaw sa bakod na lumampas sa hangganan ng lote</x:v>
      </x:c>
      <x:c r="Q92" s="13" t="str">
        <x:v>Added to balance 'boundary/property' to 49 examples using the same Justice KP label schema.</x:v>
      </x:c>
      <x:c r="R92" s="13" t="str">
        <x:v>Synthetic row based on category coverage gap from uploaded PDF</x:v>
      </x:c>
    </x:row>
    <x:row r="93" ht="36" customHeight="1">
      <x:c r="A93" s="13" t="str">
        <x:v>SYN-PROP-032</x:v>
      </x:c>
      <x:c r="B93" s="13" t="str">
        <x:v>boundary/property</x:v>
      </x:c>
      <x:c r="C93" s="13" t="str">
        <x:v>Synthetic</x:v>
      </x:c>
      <x:c r="D93" s="13" t="str"/>
      <x:c r="E93" s="13" t="str">
        <x:v>Civil</x:v>
      </x:c>
      <x:c r="F93" s="13" t="str">
        <x:v>Alitan sa daanan papunta sa likod ng bahay</x:v>
      </x:c>
      <x:c r="G93" s="13" t="str">
        <x:v>April 7, 2026</x:v>
      </x:c>
      <x:c r="H93" s="13" t="str">
        <x:v>-</x:v>
      </x:c>
      <x:c r="I93" s="13" t="str">
        <x:v>Synthetic example: parties are neighbors/residents; no prior court filing stated; for barangay mediation eligibility screening.</x:v>
      </x:c>
      <x:c r="J93" s="13" t="str">
        <x:v>For Mediation</x:v>
      </x:c>
      <x:c r="K93" s="13" t="str">
        <x:v>KP_COVERED_AMICABLE</x:v>
      </x:c>
      <x:c r="L93" s="13" t="str">
        <x:v>Eligible for KP screening</x:v>
      </x:c>
      <x:c r="M93" s="13" t="str">
        <x:v>Proceed to barangay conciliation / mediation screening</x:v>
      </x:c>
      <x:c r="N93" s="13" t="str">
        <x:v>Local property, boundary, access, or neighbor-use dispute.</x:v>
      </x:c>
      <x:c r="O93" s="13" t="str"/>
      <x:c r="P93" s="13" t="str">
        <x:v>Alitan sa daanan papunta sa likod ng bahay</x:v>
      </x:c>
      <x:c r="Q93" s="13" t="str">
        <x:v>Added to balance 'boundary/property' to 49 examples using the same Justice KP label schema.</x:v>
      </x:c>
      <x:c r="R93" s="13" t="str">
        <x:v>Synthetic row based on category coverage gap from uploaded PDF</x:v>
      </x:c>
    </x:row>
    <x:row r="94" ht="36" customHeight="1">
      <x:c r="A94" s="13" t="str">
        <x:v>SYN-PROP-033</x:v>
      </x:c>
      <x:c r="B94" s="13" t="str">
        <x:v>boundary/property</x:v>
      </x:c>
      <x:c r="C94" s="13" t="str">
        <x:v>Synthetic</x:v>
      </x:c>
      <x:c r="D94" s="13" t="str"/>
      <x:c r="E94" s="13" t="str">
        <x:v>Civil</x:v>
      </x:c>
      <x:c r="F94" s="13" t="str">
        <x:v>Paglilinaw sa puno na nakapasok sa bakuran ng kapitbahay</x:v>
      </x:c>
      <x:c r="G94" s="13" t="str">
        <x:v>April 10, 2026</x:v>
      </x:c>
      <x:c r="H94" s="13" t="str">
        <x:v>-</x:v>
      </x:c>
      <x:c r="I94" s="13" t="str">
        <x:v>Synthetic example: parties are neighbors/residents; no prior court filing stated; for barangay mediation eligibility screening.</x:v>
      </x:c>
      <x:c r="J94" s="13" t="str">
        <x:v>For Mediation</x:v>
      </x:c>
      <x:c r="K94" s="13" t="str">
        <x:v>KP_COVERED_AMICABLE</x:v>
      </x:c>
      <x:c r="L94" s="13" t="str">
        <x:v>Eligible for KP screening</x:v>
      </x:c>
      <x:c r="M94" s="13" t="str">
        <x:v>Proceed to barangay conciliation / mediation screening</x:v>
      </x:c>
      <x:c r="N94" s="13" t="str">
        <x:v>Local property, boundary, access, or neighbor-use dispute.</x:v>
      </x:c>
      <x:c r="O94" s="13" t="str"/>
      <x:c r="P94" s="13" t="str">
        <x:v>Paglilinaw sa puno na nakapasok sa bakuran ng kapitbahay</x:v>
      </x:c>
      <x:c r="Q94" s="13" t="str">
        <x:v>Added to balance 'boundary/property' to 49 examples using the same Justice KP label schema.</x:v>
      </x:c>
      <x:c r="R94" s="13" t="str">
        <x:v>Synthetic row based on category coverage gap from uploaded PDF</x:v>
      </x:c>
    </x:row>
    <x:row r="95" ht="36" customHeight="1">
      <x:c r="A95" s="13" t="str">
        <x:v>SYN-PROP-034</x:v>
      </x:c>
      <x:c r="B95" s="13" t="str">
        <x:v>boundary/property</x:v>
      </x:c>
      <x:c r="C95" s="13" t="str">
        <x:v>Synthetic</x:v>
      </x:c>
      <x:c r="D95" s="13" t="str"/>
      <x:c r="E95" s="13" t="str">
        <x:v>Civil</x:v>
      </x:c>
      <x:c r="F95" s="13" t="str">
        <x:v>Hindi pagkakasundo sa linya ng kanal sa pagitan ng dalawang bahay</x:v>
      </x:c>
      <x:c r="G95" s="13" t="str">
        <x:v>April 13, 2026</x:v>
      </x:c>
      <x:c r="H95" s="13" t="str">
        <x:v>-</x:v>
      </x:c>
      <x:c r="I95" s="13" t="str">
        <x:v>Synthetic example: parties are neighbors/residents; no prior court filing stated; for barangay mediation eligibility screening.</x:v>
      </x:c>
      <x:c r="J95" s="13" t="str">
        <x:v>For Mediation</x:v>
      </x:c>
      <x:c r="K95" s="13" t="str">
        <x:v>KP_COVERED_AMICABLE</x:v>
      </x:c>
      <x:c r="L95" s="13" t="str">
        <x:v>Eligible for KP screening</x:v>
      </x:c>
      <x:c r="M95" s="13" t="str">
        <x:v>Proceed to barangay conciliation / mediation screening</x:v>
      </x:c>
      <x:c r="N95" s="13" t="str">
        <x:v>Local property, boundary, access, or neighbor-use dispute.</x:v>
      </x:c>
      <x:c r="O95" s="13" t="str"/>
      <x:c r="P95" s="13" t="str">
        <x:v>Hindi pagkakasundo sa linya ng kanal sa pagitan ng dalawang bahay</x:v>
      </x:c>
      <x:c r="Q95" s="13" t="str">
        <x:v>Added to balance 'boundary/property' to 49 examples using the same Justice KP label schema.</x:v>
      </x:c>
      <x:c r="R95" s="13" t="str">
        <x:v>Synthetic row based on category coverage gap from uploaded PDF</x:v>
      </x:c>
    </x:row>
    <x:row r="96" ht="36" customHeight="1">
      <x:c r="A96" s="13" t="str">
        <x:v>SYN-PROP-035</x:v>
      </x:c>
      <x:c r="B96" s="13" t="str">
        <x:v>boundary/property</x:v>
      </x:c>
      <x:c r="C96" s="13" t="str">
        <x:v>Synthetic</x:v>
      </x:c>
      <x:c r="D96" s="13" t="str"/>
      <x:c r="E96" s="13" t="str">
        <x:v>Civil</x:v>
      </x:c>
      <x:c r="F96" s="13" t="str">
        <x:v>Pag-aaway tungkol sa lupaing minana ng magkapatid</x:v>
      </x:c>
      <x:c r="G96" s="13" t="str">
        <x:v>April 16, 2026</x:v>
      </x:c>
      <x:c r="H96" s="13" t="str">
        <x:v>-</x:v>
      </x:c>
      <x:c r="I96" s="13" t="str">
        <x:v>Synthetic example: parties are neighbors/residents; no prior court filing stated; for barangay mediation eligibility screening.</x:v>
      </x:c>
      <x:c r="J96" s="13" t="str">
        <x:v>For Mediation</x:v>
      </x:c>
      <x:c r="K96" s="13" t="str">
        <x:v>KP_COVERED_AMICABLE</x:v>
      </x:c>
      <x:c r="L96" s="13" t="str">
        <x:v>Eligible for KP screening</x:v>
      </x:c>
      <x:c r="M96" s="13" t="str">
        <x:v>Proceed to barangay conciliation / mediation screening</x:v>
      </x:c>
      <x:c r="N96" s="13" t="str">
        <x:v>Local property, boundary, access, or neighbor-use dispute.</x:v>
      </x:c>
      <x:c r="O96" s="13" t="str"/>
      <x:c r="P96" s="13" t="str">
        <x:v>Pag-aaway tungkol sa lupaing minana ng magkapatid</x:v>
      </x:c>
      <x:c r="Q96" s="13" t="str">
        <x:v>Added to balance 'boundary/property' to 49 examples using the same Justice KP label schema.</x:v>
      </x:c>
      <x:c r="R96" s="13" t="str">
        <x:v>Synthetic row based on category coverage gap from uploaded PDF</x:v>
      </x:c>
    </x:row>
    <x:row r="97" ht="36" customHeight="1">
      <x:c r="A97" s="13" t="str">
        <x:v>SYN-PROP-036</x:v>
      </x:c>
      <x:c r="B97" s="13" t="str">
        <x:v>boundary/property</x:v>
      </x:c>
      <x:c r="C97" s="13" t="str">
        <x:v>Synthetic</x:v>
      </x:c>
      <x:c r="D97" s="13" t="str"/>
      <x:c r="E97" s="13" t="str">
        <x:v>Civil</x:v>
      </x:c>
      <x:c r="F97" s="13" t="str">
        <x:v>Paglilinaw sa sukat ng lote matapos magpagawa ng bakod</x:v>
      </x:c>
      <x:c r="G97" s="13" t="str">
        <x:v>April 19, 2026</x:v>
      </x:c>
      <x:c r="H97" s="13" t="str">
        <x:v>-</x:v>
      </x:c>
      <x:c r="I97" s="13" t="str">
        <x:v>Synthetic example: parties are neighbors/residents; no prior court filing stated; for barangay mediation eligibility screening.</x:v>
      </x:c>
      <x:c r="J97" s="13" t="str">
        <x:v>For Mediation</x:v>
      </x:c>
      <x:c r="K97" s="13" t="str">
        <x:v>KP_COVERED_AMICABLE</x:v>
      </x:c>
      <x:c r="L97" s="13" t="str">
        <x:v>Eligible for KP screening</x:v>
      </x:c>
      <x:c r="M97" s="13" t="str">
        <x:v>Proceed to barangay conciliation / mediation screening</x:v>
      </x:c>
      <x:c r="N97" s="13" t="str">
        <x:v>Local property, boundary, access, or neighbor-use dispute.</x:v>
      </x:c>
      <x:c r="O97" s="13" t="str"/>
      <x:c r="P97" s="13" t="str">
        <x:v>Paglilinaw sa sukat ng lote matapos magpagawa ng bakod</x:v>
      </x:c>
      <x:c r="Q97" s="13" t="str">
        <x:v>Added to balance 'boundary/property' to 49 examples using the same Justice KP label schema.</x:v>
      </x:c>
      <x:c r="R97" s="13" t="str">
        <x:v>Synthetic row based on category coverage gap from uploaded PDF</x:v>
      </x:c>
    </x:row>
    <x:row r="98" ht="36" customHeight="1">
      <x:c r="A98" s="13" t="str">
        <x:v>SYN-PROP-037</x:v>
      </x:c>
      <x:c r="B98" s="13" t="str">
        <x:v>boundary/property</x:v>
      </x:c>
      <x:c r="C98" s="13" t="str">
        <x:v>Synthetic</x:v>
      </x:c>
      <x:c r="D98" s="13" t="str"/>
      <x:c r="E98" s="13" t="str">
        <x:v>Civil</x:v>
      </x:c>
      <x:c r="F98" s="13" t="str">
        <x:v>Pagharang sa dating daanan ng pamilya papunta sa kalsada</x:v>
      </x:c>
      <x:c r="G98" s="13" t="str">
        <x:v>April 22, 2026</x:v>
      </x:c>
      <x:c r="H98" s="13" t="str">
        <x:v>-</x:v>
      </x:c>
      <x:c r="I98" s="13" t="str">
        <x:v>Synthetic example: parties are neighbors/residents; no prior court filing stated; for barangay mediation eligibility screening.</x:v>
      </x:c>
      <x:c r="J98" s="13" t="str">
        <x:v>For Mediation</x:v>
      </x:c>
      <x:c r="K98" s="13" t="str">
        <x:v>KP_COVERED_AMICABLE</x:v>
      </x:c>
      <x:c r="L98" s="13" t="str">
        <x:v>Eligible for KP screening</x:v>
      </x:c>
      <x:c r="M98" s="13" t="str">
        <x:v>Proceed to barangay conciliation / mediation screening</x:v>
      </x:c>
      <x:c r="N98" s="13" t="str">
        <x:v>Local property, boundary, access, or neighbor-use dispute.</x:v>
      </x:c>
      <x:c r="O98" s="13" t="str"/>
      <x:c r="P98" s="13" t="str">
        <x:v>Pagharang sa dating daanan ng pamilya papunta sa kalsada</x:v>
      </x:c>
      <x:c r="Q98" s="13" t="str">
        <x:v>Added to balance 'boundary/property' to 49 examples using the same Justice KP label schema.</x:v>
      </x:c>
      <x:c r="R98" s="13" t="str">
        <x:v>Synthetic row based on category coverage gap from uploaded PDF</x:v>
      </x:c>
    </x:row>
    <x:row r="99" ht="36" customHeight="1">
      <x:c r="A99" s="13" t="str">
        <x:v>SYN-PROP-038</x:v>
      </x:c>
      <x:c r="B99" s="13" t="str">
        <x:v>boundary/property</x:v>
      </x:c>
      <x:c r="C99" s="13" t="str">
        <x:v>Synthetic</x:v>
      </x:c>
      <x:c r="D99" s="13" t="str"/>
      <x:c r="E99" s="13" t="str">
        <x:v>Civil</x:v>
      </x:c>
      <x:c r="F99" s="13" t="str">
        <x:v>Reklamo sa pag-agos ng tubig mula sa bakuran ng kapitbahay</x:v>
      </x:c>
      <x:c r="G99" s="13" t="str">
        <x:v>April 25, 2026</x:v>
      </x:c>
      <x:c r="H99" s="13" t="str">
        <x:v>-</x:v>
      </x:c>
      <x:c r="I99" s="13" t="str">
        <x:v>Synthetic example: parties are neighbors/residents; no prior court filing stated; for barangay mediation eligibility screening.</x:v>
      </x:c>
      <x:c r="J99" s="13" t="str">
        <x:v>For Mediation</x:v>
      </x:c>
      <x:c r="K99" s="13" t="str">
        <x:v>KP_COVERED_AMICABLE</x:v>
      </x:c>
      <x:c r="L99" s="13" t="str">
        <x:v>Eligible for KP screening</x:v>
      </x:c>
      <x:c r="M99" s="13" t="str">
        <x:v>Proceed to barangay conciliation / mediation screening</x:v>
      </x:c>
      <x:c r="N99" s="13" t="str">
        <x:v>Local property, boundary, access, or neighbor-use dispute.</x:v>
      </x:c>
      <x:c r="O99" s="13" t="str"/>
      <x:c r="P99" s="13" t="str">
        <x:v>Reklamo sa pag-agos ng tubig mula sa bakuran ng kapitbahay</x:v>
      </x:c>
      <x:c r="Q99" s="13" t="str">
        <x:v>Added to balance 'boundary/property' to 49 examples using the same Justice KP label schema.</x:v>
      </x:c>
      <x:c r="R99" s="13" t="str">
        <x:v>Synthetic row based on category coverage gap from uploaded PDF</x:v>
      </x:c>
    </x:row>
    <x:row r="100" ht="36" customHeight="1">
      <x:c r="A100" s="13" t="str">
        <x:v>KP-25-002-PSWT</x:v>
      </x:c>
      <x:c r="B100" s="13" t="str">
        <x:v>nuisance</x:v>
      </x:c>
      <x:c r="C100" s="13" t="str">
        <x:v>Real PDF</x:v>
      </x:c>
      <x:c r="D100" s="13" t="str">
        <x:v>KP-25-002-PSWT</x:v>
      </x:c>
      <x:c r="E100" s="13" t="str">
        <x:v>Civil</x:v>
      </x:c>
      <x:c r="F100" s="13" t="str">
        <x:v>Paglilinaw sa maingay na gawaan ng hollowblocks</x:v>
      </x:c>
      <x:c r="G100" s="13" t="str">
        <x:v>January 3, 2025</x:v>
      </x:c>
      <x:c r="H100" s="13" t="str">
        <x:v>June 15, 2025</x:v>
      </x:c>
      <x:c r="I100" s="13" t="str">
        <x:v>Nagkaroon ng pagkakasundo na aalisin ng ipinagsumbong ang makina ng hollowblocks sa loob ng isang taon at kalahati (December, 2026) at ang kanilang lugar ay maging stock files at sales area</x:v>
      </x:c>
      <x:c r="J100" s="13" t="str">
        <x:v>Settled</x:v>
      </x:c>
      <x:c r="K100" s="13" t="str">
        <x:v>KP_COVERED_AMICABLE</x:v>
      </x:c>
      <x:c r="L100" s="13" t="str">
        <x:v>Eligible for KP screening</x:v>
      </x:c>
      <x:c r="M100" s="13" t="str">
        <x:v>Proceed to barangay conciliation / mediation screening</x:v>
      </x:c>
      <x:c r="N100" s="13" t="str">
        <x:v>Neighbor nuisance issue suitable for barangay mediation if no disqualifying facts are present.</x:v>
      </x:c>
      <x:c r="O100" s="13" t="str"/>
      <x:c r="P100" s="13" t="str">
        <x:v>Paglilinaw sa maingay na gawaan ng hollowblocks</x:v>
      </x:c>
      <x:c r="Q100" s="13" t="str"/>
      <x:c r="R100" s="13" t="str">
        <x:v>KP CASE PSWT - Sheet1 - KP CASE PSWT - Sheet1.pdf</x:v>
      </x:c>
    </x:row>
    <x:row r="101" ht="36" customHeight="1">
      <x:c r="A101" s="13" t="str">
        <x:v>KP-25-094-PSWT</x:v>
      </x:c>
      <x:c r="B101" s="13" t="str">
        <x:v>nuisance</x:v>
      </x:c>
      <x:c r="C101" s="13" t="str">
        <x:v>Real PDF</x:v>
      </x:c>
      <x:c r="D101" s="13" t="str">
        <x:v>KP-25-094-PSWT</x:v>
      </x:c>
      <x:c r="E101" s="13" t="str">
        <x:v>Criminal</x:v>
      </x:c>
      <x:c r="F101" s="13" t="str">
        <x:v>Nakakaistorbo sa kapitbahay</x:v>
      </x:c>
      <x:c r="G101" s="13" t="str">
        <x:v>October 27, 2025</x:v>
      </x:c>
      <x:c r="H101" s="13" t="str">
        <x:v>-</x:v>
      </x:c>
      <x:c r="I101" s="13" t="str">
        <x:v>Nagkasundo at pakiusap ng maysumbong na hinaan ang volume kung nagvivideoke at iwasan ang magparada ng sasakyan sa daanan na sagabal. PAkiusap din ng ipinagsumbong na maalis ang kuryente ng maysumbong sa puno at sa poste.</x:v>
      </x:c>
      <x:c r="J101" s="13" t="str">
        <x:v>Settled</x:v>
      </x:c>
      <x:c r="K101" s="13" t="str">
        <x:v>KP_COVERED_AMICABLE</x:v>
      </x:c>
      <x:c r="L101" s="13" t="str">
        <x:v>Eligible for KP screening</x:v>
      </x:c>
      <x:c r="M101" s="13" t="str">
        <x:v>Proceed to barangay conciliation / mediation screening</x:v>
      </x:c>
      <x:c r="N101" s="13" t="str">
        <x:v>Neighbor nuisance issue suitable for barangay mediation if no disqualifying facts are present.</x:v>
      </x:c>
      <x:c r="O101" s="13" t="str"/>
      <x:c r="P101" s="13" t="str">
        <x:v>Nakakaistorbo sa kapitbahay</x:v>
      </x:c>
      <x:c r="Q101" s="13" t="str"/>
      <x:c r="R101" s="13" t="str">
        <x:v>KP CASE PSWT - Sheet1 - KP CASE PSWT - Sheet1.pdf</x:v>
      </x:c>
    </x:row>
    <x:row r="102" ht="36" customHeight="1">
      <x:c r="A102" s="13" t="str">
        <x:v>KP-25-108-PSWT</x:v>
      </x:c>
      <x:c r="B102" s="13" t="str">
        <x:v>nuisance</x:v>
      </x:c>
      <x:c r="C102" s="13" t="str">
        <x:v>Real PDF</x:v>
      </x:c>
      <x:c r="D102" s="13" t="str">
        <x:v>KP-25-108-PSWT</x:v>
      </x:c>
      <x:c r="E102" s="13" t="str">
        <x:v>Criminal</x:v>
      </x:c>
      <x:c r="F102" s="13" t="str">
        <x:v>Pag-iingay sa dis-oras ng gabi</x:v>
      </x:c>
      <x:c r="G102" s="13" t="str">
        <x:v>December 5, 2025</x:v>
      </x:c>
      <x:c r="H102" s="13" t="str">
        <x:v>January 7, 2026</x:v>
      </x:c>
      <x:c r="I102" s="13" t="str">
        <x:v>Nagkaroon ng pagkakasundo sa dalawang panig, iiwasan na lang ang pag-iinom sa lugar.</x:v>
      </x:c>
      <x:c r="J102" s="13" t="str">
        <x:v>Settled</x:v>
      </x:c>
      <x:c r="K102" s="13" t="str">
        <x:v>KP_COVERED_AMICABLE</x:v>
      </x:c>
      <x:c r="L102" s="13" t="str">
        <x:v>Eligible for KP screening</x:v>
      </x:c>
      <x:c r="M102" s="13" t="str">
        <x:v>Proceed to barangay conciliation / mediation screening</x:v>
      </x:c>
      <x:c r="N102" s="13" t="str">
        <x:v>Neighbor nuisance issue suitable for barangay mediation if no disqualifying facts are present.</x:v>
      </x:c>
      <x:c r="O102" s="13" t="str"/>
      <x:c r="P102" s="13" t="str">
        <x:v>Pag-iingay sa dis-oras ng gabi</x:v>
      </x:c>
      <x:c r="Q102" s="13" t="str"/>
      <x:c r="R102" s="13" t="str">
        <x:v>KP CASE PSWT - Sheet1 - KP CASE PSWT - Sheet1.pdf</x:v>
      </x:c>
    </x:row>
    <x:row r="103" ht="36" customHeight="1">
      <x:c r="A103" s="13" t="str">
        <x:v>KP-25-110-PSWT</x:v>
      </x:c>
      <x:c r="B103" s="13" t="str">
        <x:v>nuisance</x:v>
      </x:c>
      <x:c r="C103" s="13" t="str">
        <x:v>Real PDF</x:v>
      </x:c>
      <x:c r="D103" s="13" t="str">
        <x:v>KP-25-110-PSWT</x:v>
      </x:c>
      <x:c r="E103" s="13" t="str">
        <x:v>Criminal</x:v>
      </x:c>
      <x:c r="F103" s="13" t="str">
        <x:v>Nakakaperwisyong ingay at amoy ng manok</x:v>
      </x:c>
      <x:c r="G103" s="13" t="str">
        <x:v>December 12, 2025</x:v>
      </x:c>
      <x:c r="H103" s="13" t="str">
        <x:v>-</x:v>
      </x:c>
      <x:c r="I103" s="13" t="str">
        <x:v>Nagkaroon ng unang paghaharap subalit sa pangalawa at pangatlong paghaharap ay hindi na dumating ang maysumbong.</x:v>
      </x:c>
      <x:c r="J103" s="13" t="str">
        <x:v>Dismiss</x:v>
      </x:c>
      <x:c r="K103" s="13" t="str">
        <x:v>KP_COVERED_AMICABLE</x:v>
      </x:c>
      <x:c r="L103" s="13" t="str">
        <x:v>Eligible for KP screening</x:v>
      </x:c>
      <x:c r="M103" s="13" t="str">
        <x:v>Proceed to barangay conciliation / mediation screening</x:v>
      </x:c>
      <x:c r="N103" s="13" t="str">
        <x:v>Neighbor nuisance issue suitable for barangay mediation if no disqualifying facts are present.</x:v>
      </x:c>
      <x:c r="O103" s="13" t="str"/>
      <x:c r="P103" s="13" t="str">
        <x:v>Nakakaperwisyong ingay at amoy ng manok</x:v>
      </x:c>
      <x:c r="Q103" s="13" t="str"/>
      <x:c r="R103" s="13" t="str">
        <x:v>KP CASE PSWT - Sheet1 - KP CASE PSWT - Sheet1.pdf</x:v>
      </x:c>
    </x:row>
    <x:row r="104" ht="36" customHeight="1">
      <x:c r="A104" s="13" t="str">
        <x:v>SYN-NUIS-001</x:v>
      </x:c>
      <x:c r="B104" s="13" t="str">
        <x:v>nuisance</x:v>
      </x:c>
      <x:c r="C104" s="13" t="str">
        <x:v>Synthetic</x:v>
      </x:c>
      <x:c r="D104" s="13" t="str"/>
      <x:c r="E104" s="13" t="str">
        <x:v>Civil</x:v>
      </x:c>
      <x:c r="F104" s="13" t="str">
        <x:v>Reklamo sa malakas na videoke tuwing gabi</x:v>
      </x:c>
      <x:c r="G104" s="13" t="str">
        <x:v>January 5, 2026</x:v>
      </x:c>
      <x:c r="H104" s="13" t="str">
        <x:v>-</x:v>
      </x:c>
      <x:c r="I104" s="13" t="str">
        <x:v>Synthetic example: parties are neighbors/residents; no prior court filing stated; for barangay mediation eligibility screening.</x:v>
      </x:c>
      <x:c r="J104" s="13" t="str">
        <x:v>For Mediation</x:v>
      </x:c>
      <x:c r="K104" s="13" t="str">
        <x:v>KP_COVERED_AMICABLE</x:v>
      </x:c>
      <x:c r="L104" s="13" t="str">
        <x:v>Eligible for KP screening</x:v>
      </x:c>
      <x:c r="M104" s="13" t="str">
        <x:v>Proceed to barangay conciliation / mediation screening</x:v>
      </x:c>
      <x:c r="N104" s="13" t="str">
        <x:v>Local neighbor nuisance dispute.</x:v>
      </x:c>
      <x:c r="O104" s="13" t="str"/>
      <x:c r="P104" s="13" t="str">
        <x:v>Reklamo sa malakas na videoke tuwing gabi</x:v>
      </x:c>
      <x:c r="Q104" s="13" t="str">
        <x:v>Added to balance 'nuisance' to 49 examples using the same Justice KP label schema.</x:v>
      </x:c>
      <x:c r="R104" s="13" t="str">
        <x:v>Synthetic row based on category coverage gap from uploaded PDF</x:v>
      </x:c>
    </x:row>
    <x:row r="105" ht="36" customHeight="1">
      <x:c r="A105" s="13" t="str">
        <x:v>SYN-NUIS-002</x:v>
      </x:c>
      <x:c r="B105" s="13" t="str">
        <x:v>nuisance</x:v>
      </x:c>
      <x:c r="C105" s="13" t="str">
        <x:v>Synthetic</x:v>
      </x:c>
      <x:c r="D105" s="13" t="str"/>
      <x:c r="E105" s="13" t="str">
        <x:v>Civil</x:v>
      </x:c>
      <x:c r="F105" s="13" t="str">
        <x:v>Pag-iingay ng motorsiklo sa dis-oras ng gabi</x:v>
      </x:c>
      <x:c r="G105" s="13" t="str">
        <x:v>January 8, 2026</x:v>
      </x:c>
      <x:c r="H105" s="13" t="str">
        <x:v>-</x:v>
      </x:c>
      <x:c r="I105" s="13" t="str">
        <x:v>Synthetic example: parties are neighbors/residents; no prior court filing stated; for barangay mediation eligibility screening.</x:v>
      </x:c>
      <x:c r="J105" s="13" t="str">
        <x:v>For Mediation</x:v>
      </x:c>
      <x:c r="K105" s="13" t="str">
        <x:v>KP_COVERED_AMICABLE</x:v>
      </x:c>
      <x:c r="L105" s="13" t="str">
        <x:v>Eligible for KP screening</x:v>
      </x:c>
      <x:c r="M105" s="13" t="str">
        <x:v>Proceed to barangay conciliation / mediation screening</x:v>
      </x:c>
      <x:c r="N105" s="13" t="str">
        <x:v>Local neighbor nuisance dispute.</x:v>
      </x:c>
      <x:c r="O105" s="13" t="str"/>
      <x:c r="P105" s="13" t="str">
        <x:v>Pag-iingay ng motorsiklo sa dis-oras ng gabi</x:v>
      </x:c>
      <x:c r="Q105" s="13" t="str">
        <x:v>Added to balance 'nuisance' to 49 examples using the same Justice KP label schema.</x:v>
      </x:c>
      <x:c r="R105" s="13" t="str">
        <x:v>Synthetic row based on category coverage gap from uploaded PDF</x:v>
      </x:c>
    </x:row>
    <x:row r="106" ht="36" customHeight="1">
      <x:c r="A106" s="13" t="str">
        <x:v>SYN-NUIS-003</x:v>
      </x:c>
      <x:c r="B106" s="13" t="str">
        <x:v>nuisance</x:v>
      </x:c>
      <x:c r="C106" s="13" t="str">
        <x:v>Synthetic</x:v>
      </x:c>
      <x:c r="D106" s="13" t="str"/>
      <x:c r="E106" s="13" t="str">
        <x:v>Civil</x:v>
      </x:c>
      <x:c r="F106" s="13" t="str">
        <x:v>Amoy ng kulungan ng manok na nakakaistorbo sa kapitbahay</x:v>
      </x:c>
      <x:c r="G106" s="13" t="str">
        <x:v>January 11, 2026</x:v>
      </x:c>
      <x:c r="H106" s="13" t="str">
        <x:v>-</x:v>
      </x:c>
      <x:c r="I106" s="13" t="str">
        <x:v>Synthetic example: parties are neighbors/residents; no prior court filing stated; for barangay mediation eligibility screening.</x:v>
      </x:c>
      <x:c r="J106" s="13" t="str">
        <x:v>For Mediation</x:v>
      </x:c>
      <x:c r="K106" s="13" t="str">
        <x:v>KP_COVERED_AMICABLE</x:v>
      </x:c>
      <x:c r="L106" s="13" t="str">
        <x:v>Eligible for KP screening</x:v>
      </x:c>
      <x:c r="M106" s="13" t="str">
        <x:v>Proceed to barangay conciliation / mediation screening</x:v>
      </x:c>
      <x:c r="N106" s="13" t="str">
        <x:v>Local neighbor nuisance dispute.</x:v>
      </x:c>
      <x:c r="O106" s="13" t="str"/>
      <x:c r="P106" s="13" t="str">
        <x:v>Amoy ng kulungan ng manok na nakakaistorbo sa kapitbahay</x:v>
      </x:c>
      <x:c r="Q106" s="13" t="str">
        <x:v>Added to balance 'nuisance' to 49 examples using the same Justice KP label schema.</x:v>
      </x:c>
      <x:c r="R106" s="13" t="str">
        <x:v>Synthetic row based on category coverage gap from uploaded PDF</x:v>
      </x:c>
    </x:row>
    <x:row r="107" ht="36" customHeight="1">
      <x:c r="A107" s="13" t="str">
        <x:v>SYN-NUIS-004</x:v>
      </x:c>
      <x:c r="B107" s="13" t="str">
        <x:v>nuisance</x:v>
      </x:c>
      <x:c r="C107" s="13" t="str">
        <x:v>Synthetic</x:v>
      </x:c>
      <x:c r="D107" s="13" t="str"/>
      <x:c r="E107" s="13" t="str">
        <x:v>Civil</x:v>
      </x:c>
      <x:c r="F107" s="13" t="str">
        <x:v>Usok mula sa sinusunog na basura sa tabi ng bahay</x:v>
      </x:c>
      <x:c r="G107" s="13" t="str">
        <x:v>January 14, 2026</x:v>
      </x:c>
      <x:c r="H107" s="13" t="str">
        <x:v>-</x:v>
      </x:c>
      <x:c r="I107" s="13" t="str">
        <x:v>Synthetic example: parties are neighbors/residents; no prior court filing stated; for barangay mediation eligibility screening.</x:v>
      </x:c>
      <x:c r="J107" s="13" t="str">
        <x:v>For Mediation</x:v>
      </x:c>
      <x:c r="K107" s="13" t="str">
        <x:v>KP_COVERED_AMICABLE</x:v>
      </x:c>
      <x:c r="L107" s="13" t="str">
        <x:v>Eligible for KP screening</x:v>
      </x:c>
      <x:c r="M107" s="13" t="str">
        <x:v>Proceed to barangay conciliation / mediation screening</x:v>
      </x:c>
      <x:c r="N107" s="13" t="str">
        <x:v>Local neighbor nuisance dispute.</x:v>
      </x:c>
      <x:c r="O107" s="13" t="str"/>
      <x:c r="P107" s="13" t="str">
        <x:v>Usok mula sa sinusunog na basura sa tabi ng bahay</x:v>
      </x:c>
      <x:c r="Q107" s="13" t="str">
        <x:v>Added to balance 'nuisance' to 49 examples using the same Justice KP label schema.</x:v>
      </x:c>
      <x:c r="R107" s="13" t="str">
        <x:v>Synthetic row based on category coverage gap from uploaded PDF</x:v>
      </x:c>
    </x:row>
    <x:row r="108" ht="36" customHeight="1">
      <x:c r="A108" s="13" t="str">
        <x:v>SYN-NUIS-005</x:v>
      </x:c>
      <x:c r="B108" s="13" t="str">
        <x:v>nuisance</x:v>
      </x:c>
      <x:c r="C108" s="13" t="str">
        <x:v>Synthetic</x:v>
      </x:c>
      <x:c r="D108" s="13" t="str"/>
      <x:c r="E108" s="13" t="str">
        <x:v>Civil</x:v>
      </x:c>
      <x:c r="F108" s="13" t="str">
        <x:v>Pagparada ng sasakyan na nakaharang sa daanan</x:v>
      </x:c>
      <x:c r="G108" s="13" t="str">
        <x:v>January 17, 2026</x:v>
      </x:c>
      <x:c r="H108" s="13" t="str">
        <x:v>-</x:v>
      </x:c>
      <x:c r="I108" s="13" t="str">
        <x:v>Synthetic example: parties are neighbors/residents; no prior court filing stated; for barangay mediation eligibility screening.</x:v>
      </x:c>
      <x:c r="J108" s="13" t="str">
        <x:v>For Mediation</x:v>
      </x:c>
      <x:c r="K108" s="13" t="str">
        <x:v>KP_COVERED_AMICABLE</x:v>
      </x:c>
      <x:c r="L108" s="13" t="str">
        <x:v>Eligible for KP screening</x:v>
      </x:c>
      <x:c r="M108" s="13" t="str">
        <x:v>Proceed to barangay conciliation / mediation screening</x:v>
      </x:c>
      <x:c r="N108" s="13" t="str">
        <x:v>Local neighbor nuisance dispute.</x:v>
      </x:c>
      <x:c r="O108" s="13" t="str"/>
      <x:c r="P108" s="13" t="str">
        <x:v>Pagparada ng sasakyan na nakaharang sa daanan</x:v>
      </x:c>
      <x:c r="Q108" s="13" t="str">
        <x:v>Added to balance 'nuisance' to 49 examples using the same Justice KP label schema.</x:v>
      </x:c>
      <x:c r="R108" s="13" t="str">
        <x:v>Synthetic row based on category coverage gap from uploaded PDF</x:v>
      </x:c>
    </x:row>
    <x:row r="109" ht="36" customHeight="1">
      <x:c r="A109" s="13" t="str">
        <x:v>SYN-NUIS-006</x:v>
      </x:c>
      <x:c r="B109" s="13" t="str">
        <x:v>nuisance</x:v>
      </x:c>
      <x:c r="C109" s="13" t="str">
        <x:v>Synthetic</x:v>
      </x:c>
      <x:c r="D109" s="13" t="str"/>
      <x:c r="E109" s="13" t="str">
        <x:v>Civil</x:v>
      </x:c>
      <x:c r="F109" s="13" t="str">
        <x:v>Malakas na makina ng maliit na gawaan sa residential area</x:v>
      </x:c>
      <x:c r="G109" s="13" t="str">
        <x:v>January 20, 2026</x:v>
      </x:c>
      <x:c r="H109" s="13" t="str">
        <x:v>-</x:v>
      </x:c>
      <x:c r="I109" s="13" t="str">
        <x:v>Synthetic example: parties are neighbors/residents; no prior court filing stated; for barangay mediation eligibility screening.</x:v>
      </x:c>
      <x:c r="J109" s="13" t="str">
        <x:v>For Mediation</x:v>
      </x:c>
      <x:c r="K109" s="13" t="str">
        <x:v>KP_COVERED_AMICABLE</x:v>
      </x:c>
      <x:c r="L109" s="13" t="str">
        <x:v>Eligible for KP screening</x:v>
      </x:c>
      <x:c r="M109" s="13" t="str">
        <x:v>Proceed to barangay conciliation / mediation screening</x:v>
      </x:c>
      <x:c r="N109" s="13" t="str">
        <x:v>Local neighbor nuisance dispute.</x:v>
      </x:c>
      <x:c r="O109" s="13" t="str"/>
      <x:c r="P109" s="13" t="str">
        <x:v>Malakas na makina ng maliit na gawaan sa residential area</x:v>
      </x:c>
      <x:c r="Q109" s="13" t="str">
        <x:v>Added to balance 'nuisance' to 49 examples using the same Justice KP label schema.</x:v>
      </x:c>
      <x:c r="R109" s="13" t="str">
        <x:v>Synthetic row based on category coverage gap from uploaded PDF</x:v>
      </x:c>
    </x:row>
    <x:row r="110" ht="36" customHeight="1">
      <x:c r="A110" s="13" t="str">
        <x:v>SYN-NUIS-007</x:v>
      </x:c>
      <x:c r="B110" s="13" t="str">
        <x:v>nuisance</x:v>
      </x:c>
      <x:c r="C110" s="13" t="str">
        <x:v>Synthetic</x:v>
      </x:c>
      <x:c r="D110" s="13" t="str"/>
      <x:c r="E110" s="13" t="str">
        <x:v>Civil</x:v>
      </x:c>
      <x:c r="F110" s="13" t="str">
        <x:v>Pagkalat ng basura sa harap ng bahay ng kapitbahay</x:v>
      </x:c>
      <x:c r="G110" s="13" t="str">
        <x:v>January 23, 2026</x:v>
      </x:c>
      <x:c r="H110" s="13" t="str">
        <x:v>-</x:v>
      </x:c>
      <x:c r="I110" s="13" t="str">
        <x:v>Synthetic example: parties are neighbors/residents; no prior court filing stated; for barangay mediation eligibility screening.</x:v>
      </x:c>
      <x:c r="J110" s="13" t="str">
        <x:v>For Mediation</x:v>
      </x:c>
      <x:c r="K110" s="13" t="str">
        <x:v>KP_COVERED_AMICABLE</x:v>
      </x:c>
      <x:c r="L110" s="13" t="str">
        <x:v>Eligible for KP screening</x:v>
      </x:c>
      <x:c r="M110" s="13" t="str">
        <x:v>Proceed to barangay conciliation / mediation screening</x:v>
      </x:c>
      <x:c r="N110" s="13" t="str">
        <x:v>Local neighbor nuisance dispute.</x:v>
      </x:c>
      <x:c r="O110" s="13" t="str"/>
      <x:c r="P110" s="13" t="str">
        <x:v>Pagkalat ng basura sa harap ng bahay ng kapitbahay</x:v>
      </x:c>
      <x:c r="Q110" s="13" t="str">
        <x:v>Added to balance 'nuisance' to 49 examples using the same Justice KP label schema.</x:v>
      </x:c>
      <x:c r="R110" s="13" t="str">
        <x:v>Synthetic row based on category coverage gap from uploaded PDF</x:v>
      </x:c>
    </x:row>
    <x:row r="111" ht="36" customHeight="1">
      <x:c r="A111" s="13" t="str">
        <x:v>SYN-NUIS-008</x:v>
      </x:c>
      <x:c r="B111" s="13" t="str">
        <x:v>nuisance</x:v>
      </x:c>
      <x:c r="C111" s="13" t="str">
        <x:v>Synthetic</x:v>
      </x:c>
      <x:c r="D111" s="13" t="str"/>
      <x:c r="E111" s="13" t="str">
        <x:v>Civil</x:v>
      </x:c>
      <x:c r="F111" s="13" t="str">
        <x:v>Tubig at putik na umaagos mula sa tindahan papunta sa bahay</x:v>
      </x:c>
      <x:c r="G111" s="13" t="str">
        <x:v>January 26, 2026</x:v>
      </x:c>
      <x:c r="H111" s="13" t="str">
        <x:v>-</x:v>
      </x:c>
      <x:c r="I111" s="13" t="str">
        <x:v>Synthetic example: parties are neighbors/residents; no prior court filing stated; for barangay mediation eligibility screening.</x:v>
      </x:c>
      <x:c r="J111" s="13" t="str">
        <x:v>For Mediation</x:v>
      </x:c>
      <x:c r="K111" s="13" t="str">
        <x:v>KP_COVERED_AMICABLE</x:v>
      </x:c>
      <x:c r="L111" s="13" t="str">
        <x:v>Eligible for KP screening</x:v>
      </x:c>
      <x:c r="M111" s="13" t="str">
        <x:v>Proceed to barangay conciliation / mediation screening</x:v>
      </x:c>
      <x:c r="N111" s="13" t="str">
        <x:v>Local neighbor nuisance dispute.</x:v>
      </x:c>
      <x:c r="O111" s="13" t="str"/>
      <x:c r="P111" s="13" t="str">
        <x:v>Tubig at putik na umaagos mula sa tindahan papunta sa bahay</x:v>
      </x:c>
      <x:c r="Q111" s="13" t="str">
        <x:v>Added to balance 'nuisance' to 49 examples using the same Justice KP label schema.</x:v>
      </x:c>
      <x:c r="R111" s="13" t="str">
        <x:v>Synthetic row based on category coverage gap from uploaded PDF</x:v>
      </x:c>
    </x:row>
    <x:row r="112" ht="36" customHeight="1">
      <x:c r="A112" s="13" t="str">
        <x:v>SYN-NUIS-009</x:v>
      </x:c>
      <x:c r="B112" s="13" t="str">
        <x:v>nuisance</x:v>
      </x:c>
      <x:c r="C112" s="13" t="str">
        <x:v>Synthetic</x:v>
      </x:c>
      <x:c r="D112" s="13" t="str"/>
      <x:c r="E112" s="13" t="str">
        <x:v>Civil</x:v>
      </x:c>
      <x:c r="F112" s="13" t="str">
        <x:v>Tahol ng aso sa madaling araw na nagiging istorbo</x:v>
      </x:c>
      <x:c r="G112" s="13" t="str">
        <x:v>January 29, 2026</x:v>
      </x:c>
      <x:c r="H112" s="13" t="str">
        <x:v>-</x:v>
      </x:c>
      <x:c r="I112" s="13" t="str">
        <x:v>Synthetic example: parties are neighbors/residents; no prior court filing stated; for barangay mediation eligibility screening.</x:v>
      </x:c>
      <x:c r="J112" s="13" t="str">
        <x:v>For Mediation</x:v>
      </x:c>
      <x:c r="K112" s="13" t="str">
        <x:v>KP_COVERED_AMICABLE</x:v>
      </x:c>
      <x:c r="L112" s="13" t="str">
        <x:v>Eligible for KP screening</x:v>
      </x:c>
      <x:c r="M112" s="13" t="str">
        <x:v>Proceed to barangay conciliation / mediation screening</x:v>
      </x:c>
      <x:c r="N112" s="13" t="str">
        <x:v>Local neighbor nuisance dispute.</x:v>
      </x:c>
      <x:c r="O112" s="13" t="str"/>
      <x:c r="P112" s="13" t="str">
        <x:v>Tahol ng aso sa madaling araw na nagiging istorbo</x:v>
      </x:c>
      <x:c r="Q112" s="13" t="str">
        <x:v>Added to balance 'nuisance' to 49 examples using the same Justice KP label schema.</x:v>
      </x:c>
      <x:c r="R112" s="13" t="str">
        <x:v>Synthetic row based on category coverage gap from uploaded PDF</x:v>
      </x:c>
    </x:row>
    <x:row r="113" ht="36" customHeight="1">
      <x:c r="A113" s="13" t="str">
        <x:v>SYN-NUIS-010</x:v>
      </x:c>
      <x:c r="B113" s="13" t="str">
        <x:v>nuisance</x:v>
      </x:c>
      <x:c r="C113" s="13" t="str">
        <x:v>Synthetic</x:v>
      </x:c>
      <x:c r="D113" s="13" t="str"/>
      <x:c r="E113" s="13" t="str">
        <x:v>Civil</x:v>
      </x:c>
      <x:c r="F113" s="13" t="str">
        <x:v>Pag-iinom at pagsisigawan sa labas ng bahay tuwing gabi</x:v>
      </x:c>
      <x:c r="G113" s="13" t="str">
        <x:v>February 1, 2026</x:v>
      </x:c>
      <x:c r="H113" s="13" t="str">
        <x:v>-</x:v>
      </x:c>
      <x:c r="I113" s="13" t="str">
        <x:v>Synthetic example: parties are neighbors/residents; no prior court filing stated; for barangay mediation eligibility screening.</x:v>
      </x:c>
      <x:c r="J113" s="13" t="str">
        <x:v>For Mediation</x:v>
      </x:c>
      <x:c r="K113" s="13" t="str">
        <x:v>KP_COVERED_AMICABLE</x:v>
      </x:c>
      <x:c r="L113" s="13" t="str">
        <x:v>Eligible for KP screening</x:v>
      </x:c>
      <x:c r="M113" s="13" t="str">
        <x:v>Proceed to barangay conciliation / mediation screening</x:v>
      </x:c>
      <x:c r="N113" s="13" t="str">
        <x:v>Local neighbor nuisance dispute.</x:v>
      </x:c>
      <x:c r="O113" s="13" t="str"/>
      <x:c r="P113" s="13" t="str">
        <x:v>Pag-iinom at pagsisigawan sa labas ng bahay tuwing gabi</x:v>
      </x:c>
      <x:c r="Q113" s="13" t="str">
        <x:v>Added to balance 'nuisance' to 49 examples using the same Justice KP label schema.</x:v>
      </x:c>
      <x:c r="R113" s="13" t="str">
        <x:v>Synthetic row based on category coverage gap from uploaded PDF</x:v>
      </x:c>
    </x:row>
    <x:row r="114" ht="36" customHeight="1">
      <x:c r="A114" s="13" t="str">
        <x:v>SYN-NUIS-011</x:v>
      </x:c>
      <x:c r="B114" s="13" t="str">
        <x:v>nuisance</x:v>
      </x:c>
      <x:c r="C114" s="13" t="str">
        <x:v>Synthetic</x:v>
      </x:c>
      <x:c r="D114" s="13" t="str"/>
      <x:c r="E114" s="13" t="str">
        <x:v>Civil</x:v>
      </x:c>
      <x:c r="F114" s="13" t="str">
        <x:v>Reklamo sa malakas na videoke tuwing gabi</x:v>
      </x:c>
      <x:c r="G114" s="13" t="str">
        <x:v>February 4, 2026</x:v>
      </x:c>
      <x:c r="H114" s="13" t="str">
        <x:v>-</x:v>
      </x:c>
      <x:c r="I114" s="13" t="str">
        <x:v>Synthetic example: parties are neighbors/residents; no prior court filing stated; for barangay mediation eligibility screening.</x:v>
      </x:c>
      <x:c r="J114" s="13" t="str">
        <x:v>For Mediation</x:v>
      </x:c>
      <x:c r="K114" s="13" t="str">
        <x:v>KP_COVERED_AMICABLE</x:v>
      </x:c>
      <x:c r="L114" s="13" t="str">
        <x:v>Eligible for KP screening</x:v>
      </x:c>
      <x:c r="M114" s="13" t="str">
        <x:v>Proceed to barangay conciliation / mediation screening</x:v>
      </x:c>
      <x:c r="N114" s="13" t="str">
        <x:v>Local neighbor nuisance dispute.</x:v>
      </x:c>
      <x:c r="O114" s="13" t="str"/>
      <x:c r="P114" s="13" t="str">
        <x:v>Reklamo sa malakas na videoke tuwing gabi</x:v>
      </x:c>
      <x:c r="Q114" s="13" t="str">
        <x:v>Added to balance 'nuisance' to 49 examples using the same Justice KP label schema.</x:v>
      </x:c>
      <x:c r="R114" s="13" t="str">
        <x:v>Synthetic row based on category coverage gap from uploaded PDF</x:v>
      </x:c>
    </x:row>
    <x:row r="115" ht="36" customHeight="1">
      <x:c r="A115" s="13" t="str">
        <x:v>SYN-NUIS-012</x:v>
      </x:c>
      <x:c r="B115" s="13" t="str">
        <x:v>nuisance</x:v>
      </x:c>
      <x:c r="C115" s="13" t="str">
        <x:v>Synthetic</x:v>
      </x:c>
      <x:c r="D115" s="13" t="str"/>
      <x:c r="E115" s="13" t="str">
        <x:v>Civil</x:v>
      </x:c>
      <x:c r="F115" s="13" t="str">
        <x:v>Pag-iingay ng motorsiklo sa dis-oras ng gabi</x:v>
      </x:c>
      <x:c r="G115" s="13" t="str">
        <x:v>February 7, 2026</x:v>
      </x:c>
      <x:c r="H115" s="13" t="str">
        <x:v>-</x:v>
      </x:c>
      <x:c r="I115" s="13" t="str">
        <x:v>Synthetic example: parties are neighbors/residents; no prior court filing stated; for barangay mediation eligibility screening.</x:v>
      </x:c>
      <x:c r="J115" s="13" t="str">
        <x:v>For Mediation</x:v>
      </x:c>
      <x:c r="K115" s="13" t="str">
        <x:v>KP_COVERED_AMICABLE</x:v>
      </x:c>
      <x:c r="L115" s="13" t="str">
        <x:v>Eligible for KP screening</x:v>
      </x:c>
      <x:c r="M115" s="13" t="str">
        <x:v>Proceed to barangay conciliation / mediation screening</x:v>
      </x:c>
      <x:c r="N115" s="13" t="str">
        <x:v>Local neighbor nuisance dispute.</x:v>
      </x:c>
      <x:c r="O115" s="13" t="str"/>
      <x:c r="P115" s="13" t="str">
        <x:v>Pag-iingay ng motorsiklo sa dis-oras ng gabi</x:v>
      </x:c>
      <x:c r="Q115" s="13" t="str">
        <x:v>Added to balance 'nuisance' to 49 examples using the same Justice KP label schema.</x:v>
      </x:c>
      <x:c r="R115" s="13" t="str">
        <x:v>Synthetic row based on category coverage gap from uploaded PDF</x:v>
      </x:c>
    </x:row>
    <x:row r="116" ht="36" customHeight="1">
      <x:c r="A116" s="13" t="str">
        <x:v>SYN-NUIS-013</x:v>
      </x:c>
      <x:c r="B116" s="13" t="str">
        <x:v>nuisance</x:v>
      </x:c>
      <x:c r="C116" s="13" t="str">
        <x:v>Synthetic</x:v>
      </x:c>
      <x:c r="D116" s="13" t="str"/>
      <x:c r="E116" s="13" t="str">
        <x:v>Civil</x:v>
      </x:c>
      <x:c r="F116" s="13" t="str">
        <x:v>Amoy ng kulungan ng manok na nakakaistorbo sa kapitbahay</x:v>
      </x:c>
      <x:c r="G116" s="13" t="str">
        <x:v>February 10, 2026</x:v>
      </x:c>
      <x:c r="H116" s="13" t="str">
        <x:v>-</x:v>
      </x:c>
      <x:c r="I116" s="13" t="str">
        <x:v>Synthetic example: parties are neighbors/residents; no prior court filing stated; for barangay mediation eligibility screening.</x:v>
      </x:c>
      <x:c r="J116" s="13" t="str">
        <x:v>For Mediation</x:v>
      </x:c>
      <x:c r="K116" s="13" t="str">
        <x:v>KP_COVERED_AMICABLE</x:v>
      </x:c>
      <x:c r="L116" s="13" t="str">
        <x:v>Eligible for KP screening</x:v>
      </x:c>
      <x:c r="M116" s="13" t="str">
        <x:v>Proceed to barangay conciliation / mediation screening</x:v>
      </x:c>
      <x:c r="N116" s="13" t="str">
        <x:v>Local neighbor nuisance dispute.</x:v>
      </x:c>
      <x:c r="O116" s="13" t="str"/>
      <x:c r="P116" s="13" t="str">
        <x:v>Amoy ng kulungan ng manok na nakakaistorbo sa kapitbahay</x:v>
      </x:c>
      <x:c r="Q116" s="13" t="str">
        <x:v>Added to balance 'nuisance' to 49 examples using the same Justice KP label schema.</x:v>
      </x:c>
      <x:c r="R116" s="13" t="str">
        <x:v>Synthetic row based on category coverage gap from uploaded PDF</x:v>
      </x:c>
    </x:row>
    <x:row r="117" ht="36" customHeight="1">
      <x:c r="A117" s="13" t="str">
        <x:v>SYN-NUIS-014</x:v>
      </x:c>
      <x:c r="B117" s="13" t="str">
        <x:v>nuisance</x:v>
      </x:c>
      <x:c r="C117" s="13" t="str">
        <x:v>Synthetic</x:v>
      </x:c>
      <x:c r="D117" s="13" t="str"/>
      <x:c r="E117" s="13" t="str">
        <x:v>Civil</x:v>
      </x:c>
      <x:c r="F117" s="13" t="str">
        <x:v>Usok mula sa sinusunog na basura sa tabi ng bahay</x:v>
      </x:c>
      <x:c r="G117" s="13" t="str">
        <x:v>February 13, 2026</x:v>
      </x:c>
      <x:c r="H117" s="13" t="str">
        <x:v>-</x:v>
      </x:c>
      <x:c r="I117" s="13" t="str">
        <x:v>Synthetic example: parties are neighbors/residents; no prior court filing stated; for barangay mediation eligibility screening.</x:v>
      </x:c>
      <x:c r="J117" s="13" t="str">
        <x:v>For Mediation</x:v>
      </x:c>
      <x:c r="K117" s="13" t="str">
        <x:v>KP_COVERED_AMICABLE</x:v>
      </x:c>
      <x:c r="L117" s="13" t="str">
        <x:v>Eligible for KP screening</x:v>
      </x:c>
      <x:c r="M117" s="13" t="str">
        <x:v>Proceed to barangay conciliation / mediation screening</x:v>
      </x:c>
      <x:c r="N117" s="13" t="str">
        <x:v>Local neighbor nuisance dispute.</x:v>
      </x:c>
      <x:c r="O117" s="13" t="str"/>
      <x:c r="P117" s="13" t="str">
        <x:v>Usok mula sa sinusunog na basura sa tabi ng bahay</x:v>
      </x:c>
      <x:c r="Q117" s="13" t="str">
        <x:v>Added to balance 'nuisance' to 49 examples using the same Justice KP label schema.</x:v>
      </x:c>
      <x:c r="R117" s="13" t="str">
        <x:v>Synthetic row based on category coverage gap from uploaded PDF</x:v>
      </x:c>
    </x:row>
    <x:row r="118" ht="36" customHeight="1">
      <x:c r="A118" s="13" t="str">
        <x:v>SYN-NUIS-015</x:v>
      </x:c>
      <x:c r="B118" s="13" t="str">
        <x:v>nuisance</x:v>
      </x:c>
      <x:c r="C118" s="13" t="str">
        <x:v>Synthetic</x:v>
      </x:c>
      <x:c r="D118" s="13" t="str"/>
      <x:c r="E118" s="13" t="str">
        <x:v>Civil</x:v>
      </x:c>
      <x:c r="F118" s="13" t="str">
        <x:v>Pagparada ng sasakyan na nakaharang sa daanan</x:v>
      </x:c>
      <x:c r="G118" s="13" t="str">
        <x:v>February 16, 2026</x:v>
      </x:c>
      <x:c r="H118" s="13" t="str">
        <x:v>-</x:v>
      </x:c>
      <x:c r="I118" s="13" t="str">
        <x:v>Synthetic example: parties are neighbors/residents; no prior court filing stated; for barangay mediation eligibility screening.</x:v>
      </x:c>
      <x:c r="J118" s="13" t="str">
        <x:v>For Mediation</x:v>
      </x:c>
      <x:c r="K118" s="13" t="str">
        <x:v>KP_COVERED_AMICABLE</x:v>
      </x:c>
      <x:c r="L118" s="13" t="str">
        <x:v>Eligible for KP screening</x:v>
      </x:c>
      <x:c r="M118" s="13" t="str">
        <x:v>Proceed to barangay conciliation / mediation screening</x:v>
      </x:c>
      <x:c r="N118" s="13" t="str">
        <x:v>Local neighbor nuisance dispute.</x:v>
      </x:c>
      <x:c r="O118" s="13" t="str"/>
      <x:c r="P118" s="13" t="str">
        <x:v>Pagparada ng sasakyan na nakaharang sa daanan</x:v>
      </x:c>
      <x:c r="Q118" s="13" t="str">
        <x:v>Added to balance 'nuisance' to 49 examples using the same Justice KP label schema.</x:v>
      </x:c>
      <x:c r="R118" s="13" t="str">
        <x:v>Synthetic row based on category coverage gap from uploaded PDF</x:v>
      </x:c>
    </x:row>
    <x:row r="119" ht="36" customHeight="1">
      <x:c r="A119" s="13" t="str">
        <x:v>SYN-NUIS-016</x:v>
      </x:c>
      <x:c r="B119" s="13" t="str">
        <x:v>nuisance</x:v>
      </x:c>
      <x:c r="C119" s="13" t="str">
        <x:v>Synthetic</x:v>
      </x:c>
      <x:c r="D119" s="13" t="str"/>
      <x:c r="E119" s="13" t="str">
        <x:v>Civil</x:v>
      </x:c>
      <x:c r="F119" s="13" t="str">
        <x:v>Malakas na makina ng maliit na gawaan sa residential area</x:v>
      </x:c>
      <x:c r="G119" s="13" t="str">
        <x:v>February 19, 2026</x:v>
      </x:c>
      <x:c r="H119" s="13" t="str">
        <x:v>-</x:v>
      </x:c>
      <x:c r="I119" s="13" t="str">
        <x:v>Synthetic example: parties are neighbors/residents; no prior court filing stated; for barangay mediation eligibility screening.</x:v>
      </x:c>
      <x:c r="J119" s="13" t="str">
        <x:v>For Mediation</x:v>
      </x:c>
      <x:c r="K119" s="13" t="str">
        <x:v>KP_COVERED_AMICABLE</x:v>
      </x:c>
      <x:c r="L119" s="13" t="str">
        <x:v>Eligible for KP screening</x:v>
      </x:c>
      <x:c r="M119" s="13" t="str">
        <x:v>Proceed to barangay conciliation / mediation screening</x:v>
      </x:c>
      <x:c r="N119" s="13" t="str">
        <x:v>Local neighbor nuisance dispute.</x:v>
      </x:c>
      <x:c r="O119" s="13" t="str"/>
      <x:c r="P119" s="13" t="str">
        <x:v>Malakas na makina ng maliit na gawaan sa residential area</x:v>
      </x:c>
      <x:c r="Q119" s="13" t="str">
        <x:v>Added to balance 'nuisance' to 49 examples using the same Justice KP label schema.</x:v>
      </x:c>
      <x:c r="R119" s="13" t="str">
        <x:v>Synthetic row based on category coverage gap from uploaded PDF</x:v>
      </x:c>
    </x:row>
    <x:row r="120" ht="36" customHeight="1">
      <x:c r="A120" s="13" t="str">
        <x:v>SYN-NUIS-017</x:v>
      </x:c>
      <x:c r="B120" s="13" t="str">
        <x:v>nuisance</x:v>
      </x:c>
      <x:c r="C120" s="13" t="str">
        <x:v>Synthetic</x:v>
      </x:c>
      <x:c r="D120" s="13" t="str"/>
      <x:c r="E120" s="13" t="str">
        <x:v>Civil</x:v>
      </x:c>
      <x:c r="F120" s="13" t="str">
        <x:v>Pagkalat ng basura sa harap ng bahay ng kapitbahay</x:v>
      </x:c>
      <x:c r="G120" s="13" t="str">
        <x:v>February 22, 2026</x:v>
      </x:c>
      <x:c r="H120" s="13" t="str">
        <x:v>-</x:v>
      </x:c>
      <x:c r="I120" s="13" t="str">
        <x:v>Synthetic example: parties are neighbors/residents; no prior court filing stated; for barangay mediation eligibility screening.</x:v>
      </x:c>
      <x:c r="J120" s="13" t="str">
        <x:v>For Mediation</x:v>
      </x:c>
      <x:c r="K120" s="13" t="str">
        <x:v>KP_COVERED_AMICABLE</x:v>
      </x:c>
      <x:c r="L120" s="13" t="str">
        <x:v>Eligible for KP screening</x:v>
      </x:c>
      <x:c r="M120" s="13" t="str">
        <x:v>Proceed to barangay conciliation / mediation screening</x:v>
      </x:c>
      <x:c r="N120" s="13" t="str">
        <x:v>Local neighbor nuisance dispute.</x:v>
      </x:c>
      <x:c r="O120" s="13" t="str"/>
      <x:c r="P120" s="13" t="str">
        <x:v>Pagkalat ng basura sa harap ng bahay ng kapitbahay</x:v>
      </x:c>
      <x:c r="Q120" s="13" t="str">
        <x:v>Added to balance 'nuisance' to 49 examples using the same Justice KP label schema.</x:v>
      </x:c>
      <x:c r="R120" s="13" t="str">
        <x:v>Synthetic row based on category coverage gap from uploaded PDF</x:v>
      </x:c>
    </x:row>
    <x:row r="121" ht="36" customHeight="1">
      <x:c r="A121" s="13" t="str">
        <x:v>SYN-NUIS-018</x:v>
      </x:c>
      <x:c r="B121" s="13" t="str">
        <x:v>nuisance</x:v>
      </x:c>
      <x:c r="C121" s="13" t="str">
        <x:v>Synthetic</x:v>
      </x:c>
      <x:c r="D121" s="13" t="str"/>
      <x:c r="E121" s="13" t="str">
        <x:v>Civil</x:v>
      </x:c>
      <x:c r="F121" s="13" t="str">
        <x:v>Tubig at putik na umaagos mula sa tindahan papunta sa bahay</x:v>
      </x:c>
      <x:c r="G121" s="13" t="str">
        <x:v>February 25, 2026</x:v>
      </x:c>
      <x:c r="H121" s="13" t="str">
        <x:v>-</x:v>
      </x:c>
      <x:c r="I121" s="13" t="str">
        <x:v>Synthetic example: parties are neighbors/residents; no prior court filing stated; for barangay mediation eligibility screening.</x:v>
      </x:c>
      <x:c r="J121" s="13" t="str">
        <x:v>For Mediation</x:v>
      </x:c>
      <x:c r="K121" s="13" t="str">
        <x:v>KP_COVERED_AMICABLE</x:v>
      </x:c>
      <x:c r="L121" s="13" t="str">
        <x:v>Eligible for KP screening</x:v>
      </x:c>
      <x:c r="M121" s="13" t="str">
        <x:v>Proceed to barangay conciliation / mediation screening</x:v>
      </x:c>
      <x:c r="N121" s="13" t="str">
        <x:v>Local neighbor nuisance dispute.</x:v>
      </x:c>
      <x:c r="O121" s="13" t="str"/>
      <x:c r="P121" s="13" t="str">
        <x:v>Tubig at putik na umaagos mula sa tindahan papunta sa bahay</x:v>
      </x:c>
      <x:c r="Q121" s="13" t="str">
        <x:v>Added to balance 'nuisance' to 49 examples using the same Justice KP label schema.</x:v>
      </x:c>
      <x:c r="R121" s="13" t="str">
        <x:v>Synthetic row based on category coverage gap from uploaded PDF</x:v>
      </x:c>
    </x:row>
    <x:row r="122" ht="36" customHeight="1">
      <x:c r="A122" s="13" t="str">
        <x:v>SYN-NUIS-019</x:v>
      </x:c>
      <x:c r="B122" s="13" t="str">
        <x:v>nuisance</x:v>
      </x:c>
      <x:c r="C122" s="13" t="str">
        <x:v>Synthetic</x:v>
      </x:c>
      <x:c r="D122" s="13" t="str"/>
      <x:c r="E122" s="13" t="str">
        <x:v>Civil</x:v>
      </x:c>
      <x:c r="F122" s="13" t="str">
        <x:v>Tahol ng aso sa madaling araw na nagiging istorbo</x:v>
      </x:c>
      <x:c r="G122" s="13" t="str">
        <x:v>February 28, 2026</x:v>
      </x:c>
      <x:c r="H122" s="13" t="str">
        <x:v>-</x:v>
      </x:c>
      <x:c r="I122" s="13" t="str">
        <x:v>Synthetic example: parties are neighbors/residents; no prior court filing stated; for barangay mediation eligibility screening.</x:v>
      </x:c>
      <x:c r="J122" s="13" t="str">
        <x:v>For Mediation</x:v>
      </x:c>
      <x:c r="K122" s="13" t="str">
        <x:v>KP_COVERED_AMICABLE</x:v>
      </x:c>
      <x:c r="L122" s="13" t="str">
        <x:v>Eligible for KP screening</x:v>
      </x:c>
      <x:c r="M122" s="13" t="str">
        <x:v>Proceed to barangay conciliation / mediation screening</x:v>
      </x:c>
      <x:c r="N122" s="13" t="str">
        <x:v>Local neighbor nuisance dispute.</x:v>
      </x:c>
      <x:c r="O122" s="13" t="str"/>
      <x:c r="P122" s="13" t="str">
        <x:v>Tahol ng aso sa madaling araw na nagiging istorbo</x:v>
      </x:c>
      <x:c r="Q122" s="13" t="str">
        <x:v>Added to balance 'nuisance' to 49 examples using the same Justice KP label schema.</x:v>
      </x:c>
      <x:c r="R122" s="13" t="str">
        <x:v>Synthetic row based on category coverage gap from uploaded PDF</x:v>
      </x:c>
    </x:row>
    <x:row r="123" ht="36" customHeight="1">
      <x:c r="A123" s="13" t="str">
        <x:v>SYN-NUIS-020</x:v>
      </x:c>
      <x:c r="B123" s="13" t="str">
        <x:v>nuisance</x:v>
      </x:c>
      <x:c r="C123" s="13" t="str">
        <x:v>Synthetic</x:v>
      </x:c>
      <x:c r="D123" s="13" t="str"/>
      <x:c r="E123" s="13" t="str">
        <x:v>Civil</x:v>
      </x:c>
      <x:c r="F123" s="13" t="str">
        <x:v>Pag-iinom at pagsisigawan sa labas ng bahay tuwing gabi</x:v>
      </x:c>
      <x:c r="G123" s="13" t="str">
        <x:v>March 3, 2026</x:v>
      </x:c>
      <x:c r="H123" s="13" t="str">
        <x:v>-</x:v>
      </x:c>
      <x:c r="I123" s="13" t="str">
        <x:v>Synthetic example: parties are neighbors/residents; no prior court filing stated; for barangay mediation eligibility screening.</x:v>
      </x:c>
      <x:c r="J123" s="13" t="str">
        <x:v>For Mediation</x:v>
      </x:c>
      <x:c r="K123" s="13" t="str">
        <x:v>KP_COVERED_AMICABLE</x:v>
      </x:c>
      <x:c r="L123" s="13" t="str">
        <x:v>Eligible for KP screening</x:v>
      </x:c>
      <x:c r="M123" s="13" t="str">
        <x:v>Proceed to barangay conciliation / mediation screening</x:v>
      </x:c>
      <x:c r="N123" s="13" t="str">
        <x:v>Local neighbor nuisance dispute.</x:v>
      </x:c>
      <x:c r="O123" s="13" t="str"/>
      <x:c r="P123" s="13" t="str">
        <x:v>Pag-iinom at pagsisigawan sa labas ng bahay tuwing gabi</x:v>
      </x:c>
      <x:c r="Q123" s="13" t="str">
        <x:v>Added to balance 'nuisance' to 49 examples using the same Justice KP label schema.</x:v>
      </x:c>
      <x:c r="R123" s="13" t="str">
        <x:v>Synthetic row based on category coverage gap from uploaded PDF</x:v>
      </x:c>
    </x:row>
    <x:row r="124" ht="36" customHeight="1">
      <x:c r="A124" s="13" t="str">
        <x:v>SYN-NUIS-021</x:v>
      </x:c>
      <x:c r="B124" s="13" t="str">
        <x:v>nuisance</x:v>
      </x:c>
      <x:c r="C124" s="13" t="str">
        <x:v>Synthetic</x:v>
      </x:c>
      <x:c r="D124" s="13" t="str"/>
      <x:c r="E124" s="13" t="str">
        <x:v>Civil</x:v>
      </x:c>
      <x:c r="F124" s="13" t="str">
        <x:v>Reklamo sa malakas na videoke tuwing gabi</x:v>
      </x:c>
      <x:c r="G124" s="13" t="str">
        <x:v>March 6, 2026</x:v>
      </x:c>
      <x:c r="H124" s="13" t="str">
        <x:v>-</x:v>
      </x:c>
      <x:c r="I124" s="13" t="str">
        <x:v>Synthetic example: parties are neighbors/residents; no prior court filing stated; for barangay mediation eligibility screening.</x:v>
      </x:c>
      <x:c r="J124" s="13" t="str">
        <x:v>For Mediation</x:v>
      </x:c>
      <x:c r="K124" s="13" t="str">
        <x:v>KP_COVERED_AMICABLE</x:v>
      </x:c>
      <x:c r="L124" s="13" t="str">
        <x:v>Eligible for KP screening</x:v>
      </x:c>
      <x:c r="M124" s="13" t="str">
        <x:v>Proceed to barangay conciliation / mediation screening</x:v>
      </x:c>
      <x:c r="N124" s="13" t="str">
        <x:v>Local neighbor nuisance dispute.</x:v>
      </x:c>
      <x:c r="O124" s="13" t="str"/>
      <x:c r="P124" s="13" t="str">
        <x:v>Reklamo sa malakas na videoke tuwing gabi</x:v>
      </x:c>
      <x:c r="Q124" s="13" t="str">
        <x:v>Added to balance 'nuisance' to 49 examples using the same Justice KP label schema.</x:v>
      </x:c>
      <x:c r="R124" s="13" t="str">
        <x:v>Synthetic row based on category coverage gap from uploaded PDF</x:v>
      </x:c>
    </x:row>
    <x:row r="125" ht="36" customHeight="1">
      <x:c r="A125" s="13" t="str">
        <x:v>SYN-NUIS-022</x:v>
      </x:c>
      <x:c r="B125" s="13" t="str">
        <x:v>nuisance</x:v>
      </x:c>
      <x:c r="C125" s="13" t="str">
        <x:v>Synthetic</x:v>
      </x:c>
      <x:c r="D125" s="13" t="str"/>
      <x:c r="E125" s="13" t="str">
        <x:v>Civil</x:v>
      </x:c>
      <x:c r="F125" s="13" t="str">
        <x:v>Pag-iingay ng motorsiklo sa dis-oras ng gabi</x:v>
      </x:c>
      <x:c r="G125" s="13" t="str">
        <x:v>March 9, 2026</x:v>
      </x:c>
      <x:c r="H125" s="13" t="str">
        <x:v>-</x:v>
      </x:c>
      <x:c r="I125" s="13" t="str">
        <x:v>Synthetic example: parties are neighbors/residents; no prior court filing stated; for barangay mediation eligibility screening.</x:v>
      </x:c>
      <x:c r="J125" s="13" t="str">
        <x:v>For Mediation</x:v>
      </x:c>
      <x:c r="K125" s="13" t="str">
        <x:v>KP_COVERED_AMICABLE</x:v>
      </x:c>
      <x:c r="L125" s="13" t="str">
        <x:v>Eligible for KP screening</x:v>
      </x:c>
      <x:c r="M125" s="13" t="str">
        <x:v>Proceed to barangay conciliation / mediation screening</x:v>
      </x:c>
      <x:c r="N125" s="13" t="str">
        <x:v>Local neighbor nuisance dispute.</x:v>
      </x:c>
      <x:c r="O125" s="13" t="str"/>
      <x:c r="P125" s="13" t="str">
        <x:v>Pag-iingay ng motorsiklo sa dis-oras ng gabi</x:v>
      </x:c>
      <x:c r="Q125" s="13" t="str">
        <x:v>Added to balance 'nuisance' to 49 examples using the same Justice KP label schema.</x:v>
      </x:c>
      <x:c r="R125" s="13" t="str">
        <x:v>Synthetic row based on category coverage gap from uploaded PDF</x:v>
      </x:c>
    </x:row>
    <x:row r="126" ht="36" customHeight="1">
      <x:c r="A126" s="13" t="str">
        <x:v>SYN-NUIS-023</x:v>
      </x:c>
      <x:c r="B126" s="13" t="str">
        <x:v>nuisance</x:v>
      </x:c>
      <x:c r="C126" s="13" t="str">
        <x:v>Synthetic</x:v>
      </x:c>
      <x:c r="D126" s="13" t="str"/>
      <x:c r="E126" s="13" t="str">
        <x:v>Civil</x:v>
      </x:c>
      <x:c r="F126" s="13" t="str">
        <x:v>Amoy ng kulungan ng manok na nakakaistorbo sa kapitbahay</x:v>
      </x:c>
      <x:c r="G126" s="13" t="str">
        <x:v>March 12, 2026</x:v>
      </x:c>
      <x:c r="H126" s="13" t="str">
        <x:v>-</x:v>
      </x:c>
      <x:c r="I126" s="13" t="str">
        <x:v>Synthetic example: parties are neighbors/residents; no prior court filing stated; for barangay mediation eligibility screening.</x:v>
      </x:c>
      <x:c r="J126" s="13" t="str">
        <x:v>For Mediation</x:v>
      </x:c>
      <x:c r="K126" s="13" t="str">
        <x:v>KP_COVERED_AMICABLE</x:v>
      </x:c>
      <x:c r="L126" s="13" t="str">
        <x:v>Eligible for KP screening</x:v>
      </x:c>
      <x:c r="M126" s="13" t="str">
        <x:v>Proceed to barangay conciliation / mediation screening</x:v>
      </x:c>
      <x:c r="N126" s="13" t="str">
        <x:v>Local neighbor nuisance dispute.</x:v>
      </x:c>
      <x:c r="O126" s="13" t="str"/>
      <x:c r="P126" s="13" t="str">
        <x:v>Amoy ng kulungan ng manok na nakakaistorbo sa kapitbahay</x:v>
      </x:c>
      <x:c r="Q126" s="13" t="str">
        <x:v>Added to balance 'nuisance' to 49 examples using the same Justice KP label schema.</x:v>
      </x:c>
      <x:c r="R126" s="13" t="str">
        <x:v>Synthetic row based on category coverage gap from uploaded PDF</x:v>
      </x:c>
    </x:row>
    <x:row r="127" ht="36" customHeight="1">
      <x:c r="A127" s="13" t="str">
        <x:v>SYN-NUIS-024</x:v>
      </x:c>
      <x:c r="B127" s="13" t="str">
        <x:v>nuisance</x:v>
      </x:c>
      <x:c r="C127" s="13" t="str">
        <x:v>Synthetic</x:v>
      </x:c>
      <x:c r="D127" s="13" t="str"/>
      <x:c r="E127" s="13" t="str">
        <x:v>Civil</x:v>
      </x:c>
      <x:c r="F127" s="13" t="str">
        <x:v>Usok mula sa sinusunog na basura sa tabi ng bahay</x:v>
      </x:c>
      <x:c r="G127" s="13" t="str">
        <x:v>March 15, 2026</x:v>
      </x:c>
      <x:c r="H127" s="13" t="str">
        <x:v>-</x:v>
      </x:c>
      <x:c r="I127" s="13" t="str">
        <x:v>Synthetic example: parties are neighbors/residents; no prior court filing stated; for barangay mediation eligibility screening.</x:v>
      </x:c>
      <x:c r="J127" s="13" t="str">
        <x:v>For Mediation</x:v>
      </x:c>
      <x:c r="K127" s="13" t="str">
        <x:v>KP_COVERED_AMICABLE</x:v>
      </x:c>
      <x:c r="L127" s="13" t="str">
        <x:v>Eligible for KP screening</x:v>
      </x:c>
      <x:c r="M127" s="13" t="str">
        <x:v>Proceed to barangay conciliation / mediation screening</x:v>
      </x:c>
      <x:c r="N127" s="13" t="str">
        <x:v>Local neighbor nuisance dispute.</x:v>
      </x:c>
      <x:c r="O127" s="13" t="str"/>
      <x:c r="P127" s="13" t="str">
        <x:v>Usok mula sa sinusunog na basura sa tabi ng bahay</x:v>
      </x:c>
      <x:c r="Q127" s="13" t="str">
        <x:v>Added to balance 'nuisance' to 49 examples using the same Justice KP label schema.</x:v>
      </x:c>
      <x:c r="R127" s="13" t="str">
        <x:v>Synthetic row based on category coverage gap from uploaded PDF</x:v>
      </x:c>
    </x:row>
    <x:row r="128" ht="36" customHeight="1">
      <x:c r="A128" s="13" t="str">
        <x:v>SYN-NUIS-025</x:v>
      </x:c>
      <x:c r="B128" s="13" t="str">
        <x:v>nuisance</x:v>
      </x:c>
      <x:c r="C128" s="13" t="str">
        <x:v>Synthetic</x:v>
      </x:c>
      <x:c r="D128" s="13" t="str"/>
      <x:c r="E128" s="13" t="str">
        <x:v>Civil</x:v>
      </x:c>
      <x:c r="F128" s="13" t="str">
        <x:v>Pagparada ng sasakyan na nakaharang sa daanan</x:v>
      </x:c>
      <x:c r="G128" s="13" t="str">
        <x:v>March 18, 2026</x:v>
      </x:c>
      <x:c r="H128" s="13" t="str">
        <x:v>-</x:v>
      </x:c>
      <x:c r="I128" s="13" t="str">
        <x:v>Synthetic example: parties are neighbors/residents; no prior court filing stated; for barangay mediation eligibility screening.</x:v>
      </x:c>
      <x:c r="J128" s="13" t="str">
        <x:v>For Mediation</x:v>
      </x:c>
      <x:c r="K128" s="13" t="str">
        <x:v>KP_COVERED_AMICABLE</x:v>
      </x:c>
      <x:c r="L128" s="13" t="str">
        <x:v>Eligible for KP screening</x:v>
      </x:c>
      <x:c r="M128" s="13" t="str">
        <x:v>Proceed to barangay conciliation / mediation screening</x:v>
      </x:c>
      <x:c r="N128" s="13" t="str">
        <x:v>Local neighbor nuisance dispute.</x:v>
      </x:c>
      <x:c r="O128" s="13" t="str"/>
      <x:c r="P128" s="13" t="str">
        <x:v>Pagparada ng sasakyan na nakaharang sa daanan</x:v>
      </x:c>
      <x:c r="Q128" s="13" t="str">
        <x:v>Added to balance 'nuisance' to 49 examples using the same Justice KP label schema.</x:v>
      </x:c>
      <x:c r="R128" s="13" t="str">
        <x:v>Synthetic row based on category coverage gap from uploaded PDF</x:v>
      </x:c>
    </x:row>
    <x:row r="129" ht="36" customHeight="1">
      <x:c r="A129" s="13" t="str">
        <x:v>SYN-NUIS-026</x:v>
      </x:c>
      <x:c r="B129" s="13" t="str">
        <x:v>nuisance</x:v>
      </x:c>
      <x:c r="C129" s="13" t="str">
        <x:v>Synthetic</x:v>
      </x:c>
      <x:c r="D129" s="13" t="str"/>
      <x:c r="E129" s="13" t="str">
        <x:v>Civil</x:v>
      </x:c>
      <x:c r="F129" s="13" t="str">
        <x:v>Malakas na makina ng maliit na gawaan sa residential area</x:v>
      </x:c>
      <x:c r="G129" s="13" t="str">
        <x:v>March 21, 2026</x:v>
      </x:c>
      <x:c r="H129" s="13" t="str">
        <x:v>-</x:v>
      </x:c>
      <x:c r="I129" s="13" t="str">
        <x:v>Synthetic example: parties are neighbors/residents; no prior court filing stated; for barangay mediation eligibility screening.</x:v>
      </x:c>
      <x:c r="J129" s="13" t="str">
        <x:v>For Mediation</x:v>
      </x:c>
      <x:c r="K129" s="13" t="str">
        <x:v>KP_COVERED_AMICABLE</x:v>
      </x:c>
      <x:c r="L129" s="13" t="str">
        <x:v>Eligible for KP screening</x:v>
      </x:c>
      <x:c r="M129" s="13" t="str">
        <x:v>Proceed to barangay conciliation / mediation screening</x:v>
      </x:c>
      <x:c r="N129" s="13" t="str">
        <x:v>Local neighbor nuisance dispute.</x:v>
      </x:c>
      <x:c r="O129" s="13" t="str"/>
      <x:c r="P129" s="13" t="str">
        <x:v>Malakas na makina ng maliit na gawaan sa residential area</x:v>
      </x:c>
      <x:c r="Q129" s="13" t="str">
        <x:v>Added to balance 'nuisance' to 49 examples using the same Justice KP label schema.</x:v>
      </x:c>
      <x:c r="R129" s="13" t="str">
        <x:v>Synthetic row based on category coverage gap from uploaded PDF</x:v>
      </x:c>
    </x:row>
    <x:row r="130" ht="36" customHeight="1">
      <x:c r="A130" s="13" t="str">
        <x:v>SYN-NUIS-027</x:v>
      </x:c>
      <x:c r="B130" s="13" t="str">
        <x:v>nuisance</x:v>
      </x:c>
      <x:c r="C130" s="13" t="str">
        <x:v>Synthetic</x:v>
      </x:c>
      <x:c r="D130" s="13" t="str"/>
      <x:c r="E130" s="13" t="str">
        <x:v>Civil</x:v>
      </x:c>
      <x:c r="F130" s="13" t="str">
        <x:v>Pagkalat ng basura sa harap ng bahay ng kapitbahay</x:v>
      </x:c>
      <x:c r="G130" s="13" t="str">
        <x:v>March 24, 2026</x:v>
      </x:c>
      <x:c r="H130" s="13" t="str">
        <x:v>-</x:v>
      </x:c>
      <x:c r="I130" s="13" t="str">
        <x:v>Synthetic example: parties are neighbors/residents; no prior court filing stated; for barangay mediation eligibility screening.</x:v>
      </x:c>
      <x:c r="J130" s="13" t="str">
        <x:v>For Mediation</x:v>
      </x:c>
      <x:c r="K130" s="13" t="str">
        <x:v>KP_COVERED_AMICABLE</x:v>
      </x:c>
      <x:c r="L130" s="13" t="str">
        <x:v>Eligible for KP screening</x:v>
      </x:c>
      <x:c r="M130" s="13" t="str">
        <x:v>Proceed to barangay conciliation / mediation screening</x:v>
      </x:c>
      <x:c r="N130" s="13" t="str">
        <x:v>Local neighbor nuisance dispute.</x:v>
      </x:c>
      <x:c r="O130" s="13" t="str"/>
      <x:c r="P130" s="13" t="str">
        <x:v>Pagkalat ng basura sa harap ng bahay ng kapitbahay</x:v>
      </x:c>
      <x:c r="Q130" s="13" t="str">
        <x:v>Added to balance 'nuisance' to 49 examples using the same Justice KP label schema.</x:v>
      </x:c>
      <x:c r="R130" s="13" t="str">
        <x:v>Synthetic row based on category coverage gap from uploaded PDF</x:v>
      </x:c>
    </x:row>
    <x:row r="131" ht="36" customHeight="1">
      <x:c r="A131" s="13" t="str">
        <x:v>SYN-NUIS-028</x:v>
      </x:c>
      <x:c r="B131" s="13" t="str">
        <x:v>nuisance</x:v>
      </x:c>
      <x:c r="C131" s="13" t="str">
        <x:v>Synthetic</x:v>
      </x:c>
      <x:c r="D131" s="13" t="str"/>
      <x:c r="E131" s="13" t="str">
        <x:v>Civil</x:v>
      </x:c>
      <x:c r="F131" s="13" t="str">
        <x:v>Tubig at putik na umaagos mula sa tindahan papunta sa bahay</x:v>
      </x:c>
      <x:c r="G131" s="13" t="str">
        <x:v>March 27, 2026</x:v>
      </x:c>
      <x:c r="H131" s="13" t="str">
        <x:v>-</x:v>
      </x:c>
      <x:c r="I131" s="13" t="str">
        <x:v>Synthetic example: parties are neighbors/residents; no prior court filing stated; for barangay mediation eligibility screening.</x:v>
      </x:c>
      <x:c r="J131" s="13" t="str">
        <x:v>For Mediation</x:v>
      </x:c>
      <x:c r="K131" s="13" t="str">
        <x:v>KP_COVERED_AMICABLE</x:v>
      </x:c>
      <x:c r="L131" s="13" t="str">
        <x:v>Eligible for KP screening</x:v>
      </x:c>
      <x:c r="M131" s="13" t="str">
        <x:v>Proceed to barangay conciliation / mediation screening</x:v>
      </x:c>
      <x:c r="N131" s="13" t="str">
        <x:v>Local neighbor nuisance dispute.</x:v>
      </x:c>
      <x:c r="O131" s="13" t="str"/>
      <x:c r="P131" s="13" t="str">
        <x:v>Tubig at putik na umaagos mula sa tindahan papunta sa bahay</x:v>
      </x:c>
      <x:c r="Q131" s="13" t="str">
        <x:v>Added to balance 'nuisance' to 49 examples using the same Justice KP label schema.</x:v>
      </x:c>
      <x:c r="R131" s="13" t="str">
        <x:v>Synthetic row based on category coverage gap from uploaded PDF</x:v>
      </x:c>
    </x:row>
    <x:row r="132" ht="36" customHeight="1">
      <x:c r="A132" s="13" t="str">
        <x:v>SYN-NUIS-029</x:v>
      </x:c>
      <x:c r="B132" s="13" t="str">
        <x:v>nuisance</x:v>
      </x:c>
      <x:c r="C132" s="13" t="str">
        <x:v>Synthetic</x:v>
      </x:c>
      <x:c r="D132" s="13" t="str"/>
      <x:c r="E132" s="13" t="str">
        <x:v>Civil</x:v>
      </x:c>
      <x:c r="F132" s="13" t="str">
        <x:v>Tahol ng aso sa madaling araw na nagiging istorbo</x:v>
      </x:c>
      <x:c r="G132" s="13" t="str">
        <x:v>March 30, 2026</x:v>
      </x:c>
      <x:c r="H132" s="13" t="str">
        <x:v>-</x:v>
      </x:c>
      <x:c r="I132" s="13" t="str">
        <x:v>Synthetic example: parties are neighbors/residents; no prior court filing stated; for barangay mediation eligibility screening.</x:v>
      </x:c>
      <x:c r="J132" s="13" t="str">
        <x:v>For Mediation</x:v>
      </x:c>
      <x:c r="K132" s="13" t="str">
        <x:v>KP_COVERED_AMICABLE</x:v>
      </x:c>
      <x:c r="L132" s="13" t="str">
        <x:v>Eligible for KP screening</x:v>
      </x:c>
      <x:c r="M132" s="13" t="str">
        <x:v>Proceed to barangay conciliation / mediation screening</x:v>
      </x:c>
      <x:c r="N132" s="13" t="str">
        <x:v>Local neighbor nuisance dispute.</x:v>
      </x:c>
      <x:c r="O132" s="13" t="str"/>
      <x:c r="P132" s="13" t="str">
        <x:v>Tahol ng aso sa madaling araw na nagiging istorbo</x:v>
      </x:c>
      <x:c r="Q132" s="13" t="str">
        <x:v>Added to balance 'nuisance' to 49 examples using the same Justice KP label schema.</x:v>
      </x:c>
      <x:c r="R132" s="13" t="str">
        <x:v>Synthetic row based on category coverage gap from uploaded PDF</x:v>
      </x:c>
    </x:row>
    <x:row r="133" ht="36" customHeight="1">
      <x:c r="A133" s="13" t="str">
        <x:v>SYN-NUIS-030</x:v>
      </x:c>
      <x:c r="B133" s="13" t="str">
        <x:v>nuisance</x:v>
      </x:c>
      <x:c r="C133" s="13" t="str">
        <x:v>Synthetic</x:v>
      </x:c>
      <x:c r="D133" s="13" t="str"/>
      <x:c r="E133" s="13" t="str">
        <x:v>Civil</x:v>
      </x:c>
      <x:c r="F133" s="13" t="str">
        <x:v>Pag-iinom at pagsisigawan sa labas ng bahay tuwing gabi</x:v>
      </x:c>
      <x:c r="G133" s="13" t="str">
        <x:v>April 2, 2026</x:v>
      </x:c>
      <x:c r="H133" s="13" t="str">
        <x:v>-</x:v>
      </x:c>
      <x:c r="I133" s="13" t="str">
        <x:v>Synthetic example: parties are neighbors/residents; no prior court filing stated; for barangay mediation eligibility screening.</x:v>
      </x:c>
      <x:c r="J133" s="13" t="str">
        <x:v>For Mediation</x:v>
      </x:c>
      <x:c r="K133" s="13" t="str">
        <x:v>KP_COVERED_AMICABLE</x:v>
      </x:c>
      <x:c r="L133" s="13" t="str">
        <x:v>Eligible for KP screening</x:v>
      </x:c>
      <x:c r="M133" s="13" t="str">
        <x:v>Proceed to barangay conciliation / mediation screening</x:v>
      </x:c>
      <x:c r="N133" s="13" t="str">
        <x:v>Local neighbor nuisance dispute.</x:v>
      </x:c>
      <x:c r="O133" s="13" t="str"/>
      <x:c r="P133" s="13" t="str">
        <x:v>Pag-iinom at pagsisigawan sa labas ng bahay tuwing gabi</x:v>
      </x:c>
      <x:c r="Q133" s="13" t="str">
        <x:v>Added to balance 'nuisance' to 49 examples using the same Justice KP label schema.</x:v>
      </x:c>
      <x:c r="R133" s="13" t="str">
        <x:v>Synthetic row based on category coverage gap from uploaded PDF</x:v>
      </x:c>
    </x:row>
    <x:row r="134" ht="36" customHeight="1">
      <x:c r="A134" s="13" t="str">
        <x:v>SYN-NUIS-031</x:v>
      </x:c>
      <x:c r="B134" s="13" t="str">
        <x:v>nuisance</x:v>
      </x:c>
      <x:c r="C134" s="13" t="str">
        <x:v>Synthetic</x:v>
      </x:c>
      <x:c r="D134" s="13" t="str"/>
      <x:c r="E134" s="13" t="str">
        <x:v>Civil</x:v>
      </x:c>
      <x:c r="F134" s="13" t="str">
        <x:v>Reklamo sa malakas na videoke tuwing gabi</x:v>
      </x:c>
      <x:c r="G134" s="13" t="str">
        <x:v>April 5, 2026</x:v>
      </x:c>
      <x:c r="H134" s="13" t="str">
        <x:v>-</x:v>
      </x:c>
      <x:c r="I134" s="13" t="str">
        <x:v>Synthetic example: parties are neighbors/residents; no prior court filing stated; for barangay mediation eligibility screening.</x:v>
      </x:c>
      <x:c r="J134" s="13" t="str">
        <x:v>For Mediation</x:v>
      </x:c>
      <x:c r="K134" s="13" t="str">
        <x:v>KP_COVERED_AMICABLE</x:v>
      </x:c>
      <x:c r="L134" s="13" t="str">
        <x:v>Eligible for KP screening</x:v>
      </x:c>
      <x:c r="M134" s="13" t="str">
        <x:v>Proceed to barangay conciliation / mediation screening</x:v>
      </x:c>
      <x:c r="N134" s="13" t="str">
        <x:v>Local neighbor nuisance dispute.</x:v>
      </x:c>
      <x:c r="O134" s="13" t="str"/>
      <x:c r="P134" s="13" t="str">
        <x:v>Reklamo sa malakas na videoke tuwing gabi</x:v>
      </x:c>
      <x:c r="Q134" s="13" t="str">
        <x:v>Added to balance 'nuisance' to 49 examples using the same Justice KP label schema.</x:v>
      </x:c>
      <x:c r="R134" s="13" t="str">
        <x:v>Synthetic row based on category coverage gap from uploaded PDF</x:v>
      </x:c>
    </x:row>
    <x:row r="135" ht="36" customHeight="1">
      <x:c r="A135" s="13" t="str">
        <x:v>SYN-NUIS-032</x:v>
      </x:c>
      <x:c r="B135" s="13" t="str">
        <x:v>nuisance</x:v>
      </x:c>
      <x:c r="C135" s="13" t="str">
        <x:v>Synthetic</x:v>
      </x:c>
      <x:c r="D135" s="13" t="str"/>
      <x:c r="E135" s="13" t="str">
        <x:v>Civil</x:v>
      </x:c>
      <x:c r="F135" s="13" t="str">
        <x:v>Pag-iingay ng motorsiklo sa dis-oras ng gabi</x:v>
      </x:c>
      <x:c r="G135" s="13" t="str">
        <x:v>April 8, 2026</x:v>
      </x:c>
      <x:c r="H135" s="13" t="str">
        <x:v>-</x:v>
      </x:c>
      <x:c r="I135" s="13" t="str">
        <x:v>Synthetic example: parties are neighbors/residents; no prior court filing stated; for barangay mediation eligibility screening.</x:v>
      </x:c>
      <x:c r="J135" s="13" t="str">
        <x:v>For Mediation</x:v>
      </x:c>
      <x:c r="K135" s="13" t="str">
        <x:v>KP_COVERED_AMICABLE</x:v>
      </x:c>
      <x:c r="L135" s="13" t="str">
        <x:v>Eligible for KP screening</x:v>
      </x:c>
      <x:c r="M135" s="13" t="str">
        <x:v>Proceed to barangay conciliation / mediation screening</x:v>
      </x:c>
      <x:c r="N135" s="13" t="str">
        <x:v>Local neighbor nuisance dispute.</x:v>
      </x:c>
      <x:c r="O135" s="13" t="str"/>
      <x:c r="P135" s="13" t="str">
        <x:v>Pag-iingay ng motorsiklo sa dis-oras ng gabi</x:v>
      </x:c>
      <x:c r="Q135" s="13" t="str">
        <x:v>Added to balance 'nuisance' to 49 examples using the same Justice KP label schema.</x:v>
      </x:c>
      <x:c r="R135" s="13" t="str">
        <x:v>Synthetic row based on category coverage gap from uploaded PDF</x:v>
      </x:c>
    </x:row>
    <x:row r="136" ht="36" customHeight="1">
      <x:c r="A136" s="13" t="str">
        <x:v>SYN-NUIS-033</x:v>
      </x:c>
      <x:c r="B136" s="13" t="str">
        <x:v>nuisance</x:v>
      </x:c>
      <x:c r="C136" s="13" t="str">
        <x:v>Synthetic</x:v>
      </x:c>
      <x:c r="D136" s="13" t="str"/>
      <x:c r="E136" s="13" t="str">
        <x:v>Civil</x:v>
      </x:c>
      <x:c r="F136" s="13" t="str">
        <x:v>Amoy ng kulungan ng manok na nakakaistorbo sa kapitbahay</x:v>
      </x:c>
      <x:c r="G136" s="13" t="str">
        <x:v>April 11, 2026</x:v>
      </x:c>
      <x:c r="H136" s="13" t="str">
        <x:v>-</x:v>
      </x:c>
      <x:c r="I136" s="13" t="str">
        <x:v>Synthetic example: parties are neighbors/residents; no prior court filing stated; for barangay mediation eligibility screening.</x:v>
      </x:c>
      <x:c r="J136" s="13" t="str">
        <x:v>For Mediation</x:v>
      </x:c>
      <x:c r="K136" s="13" t="str">
        <x:v>KP_COVERED_AMICABLE</x:v>
      </x:c>
      <x:c r="L136" s="13" t="str">
        <x:v>Eligible for KP screening</x:v>
      </x:c>
      <x:c r="M136" s="13" t="str">
        <x:v>Proceed to barangay conciliation / mediation screening</x:v>
      </x:c>
      <x:c r="N136" s="13" t="str">
        <x:v>Local neighbor nuisance dispute.</x:v>
      </x:c>
      <x:c r="O136" s="13" t="str"/>
      <x:c r="P136" s="13" t="str">
        <x:v>Amoy ng kulungan ng manok na nakakaistorbo sa kapitbahay</x:v>
      </x:c>
      <x:c r="Q136" s="13" t="str">
        <x:v>Added to balance 'nuisance' to 49 examples using the same Justice KP label schema.</x:v>
      </x:c>
      <x:c r="R136" s="13" t="str">
        <x:v>Synthetic row based on category coverage gap from uploaded PDF</x:v>
      </x:c>
    </x:row>
    <x:row r="137" ht="36" customHeight="1">
      <x:c r="A137" s="13" t="str">
        <x:v>SYN-NUIS-034</x:v>
      </x:c>
      <x:c r="B137" s="13" t="str">
        <x:v>nuisance</x:v>
      </x:c>
      <x:c r="C137" s="13" t="str">
        <x:v>Synthetic</x:v>
      </x:c>
      <x:c r="D137" s="13" t="str"/>
      <x:c r="E137" s="13" t="str">
        <x:v>Civil</x:v>
      </x:c>
      <x:c r="F137" s="13" t="str">
        <x:v>Usok mula sa sinusunog na basura sa tabi ng bahay</x:v>
      </x:c>
      <x:c r="G137" s="13" t="str">
        <x:v>April 14, 2026</x:v>
      </x:c>
      <x:c r="H137" s="13" t="str">
        <x:v>-</x:v>
      </x:c>
      <x:c r="I137" s="13" t="str">
        <x:v>Synthetic example: parties are neighbors/residents; no prior court filing stated; for barangay mediation eligibility screening.</x:v>
      </x:c>
      <x:c r="J137" s="13" t="str">
        <x:v>For Mediation</x:v>
      </x:c>
      <x:c r="K137" s="13" t="str">
        <x:v>KP_COVERED_AMICABLE</x:v>
      </x:c>
      <x:c r="L137" s="13" t="str">
        <x:v>Eligible for KP screening</x:v>
      </x:c>
      <x:c r="M137" s="13" t="str">
        <x:v>Proceed to barangay conciliation / mediation screening</x:v>
      </x:c>
      <x:c r="N137" s="13" t="str">
        <x:v>Local neighbor nuisance dispute.</x:v>
      </x:c>
      <x:c r="O137" s="13" t="str"/>
      <x:c r="P137" s="13" t="str">
        <x:v>Usok mula sa sinusunog na basura sa tabi ng bahay</x:v>
      </x:c>
      <x:c r="Q137" s="13" t="str">
        <x:v>Added to balance 'nuisance' to 49 examples using the same Justice KP label schema.</x:v>
      </x:c>
      <x:c r="R137" s="13" t="str">
        <x:v>Synthetic row based on category coverage gap from uploaded PDF</x:v>
      </x:c>
    </x:row>
    <x:row r="138" ht="36" customHeight="1">
      <x:c r="A138" s="13" t="str">
        <x:v>SYN-NUIS-035</x:v>
      </x:c>
      <x:c r="B138" s="13" t="str">
        <x:v>nuisance</x:v>
      </x:c>
      <x:c r="C138" s="13" t="str">
        <x:v>Synthetic</x:v>
      </x:c>
      <x:c r="D138" s="13" t="str"/>
      <x:c r="E138" s="13" t="str">
        <x:v>Civil</x:v>
      </x:c>
      <x:c r="F138" s="13" t="str">
        <x:v>Pagparada ng sasakyan na nakaharang sa daanan</x:v>
      </x:c>
      <x:c r="G138" s="13" t="str">
        <x:v>April 17, 2026</x:v>
      </x:c>
      <x:c r="H138" s="13" t="str">
        <x:v>-</x:v>
      </x:c>
      <x:c r="I138" s="13" t="str">
        <x:v>Synthetic example: parties are neighbors/residents; no prior court filing stated; for barangay mediation eligibility screening.</x:v>
      </x:c>
      <x:c r="J138" s="13" t="str">
        <x:v>For Mediation</x:v>
      </x:c>
      <x:c r="K138" s="13" t="str">
        <x:v>KP_COVERED_AMICABLE</x:v>
      </x:c>
      <x:c r="L138" s="13" t="str">
        <x:v>Eligible for KP screening</x:v>
      </x:c>
      <x:c r="M138" s="13" t="str">
        <x:v>Proceed to barangay conciliation / mediation screening</x:v>
      </x:c>
      <x:c r="N138" s="13" t="str">
        <x:v>Local neighbor nuisance dispute.</x:v>
      </x:c>
      <x:c r="O138" s="13" t="str"/>
      <x:c r="P138" s="13" t="str">
        <x:v>Pagparada ng sasakyan na nakaharang sa daanan</x:v>
      </x:c>
      <x:c r="Q138" s="13" t="str">
        <x:v>Added to balance 'nuisance' to 49 examples using the same Justice KP label schema.</x:v>
      </x:c>
      <x:c r="R138" s="13" t="str">
        <x:v>Synthetic row based on category coverage gap from uploaded PDF</x:v>
      </x:c>
    </x:row>
    <x:row r="139" ht="36" customHeight="1">
      <x:c r="A139" s="13" t="str">
        <x:v>SYN-NUIS-036</x:v>
      </x:c>
      <x:c r="B139" s="13" t="str">
        <x:v>nuisance</x:v>
      </x:c>
      <x:c r="C139" s="13" t="str">
        <x:v>Synthetic</x:v>
      </x:c>
      <x:c r="D139" s="13" t="str"/>
      <x:c r="E139" s="13" t="str">
        <x:v>Civil</x:v>
      </x:c>
      <x:c r="F139" s="13" t="str">
        <x:v>Malakas na makina ng maliit na gawaan sa residential area</x:v>
      </x:c>
      <x:c r="G139" s="13" t="str">
        <x:v>April 20, 2026</x:v>
      </x:c>
      <x:c r="H139" s="13" t="str">
        <x:v>-</x:v>
      </x:c>
      <x:c r="I139" s="13" t="str">
        <x:v>Synthetic example: parties are neighbors/residents; no prior court filing stated; for barangay mediation eligibility screening.</x:v>
      </x:c>
      <x:c r="J139" s="13" t="str">
        <x:v>For Mediation</x:v>
      </x:c>
      <x:c r="K139" s="13" t="str">
        <x:v>KP_COVERED_AMICABLE</x:v>
      </x:c>
      <x:c r="L139" s="13" t="str">
        <x:v>Eligible for KP screening</x:v>
      </x:c>
      <x:c r="M139" s="13" t="str">
        <x:v>Proceed to barangay conciliation / mediation screening</x:v>
      </x:c>
      <x:c r="N139" s="13" t="str">
        <x:v>Local neighbor nuisance dispute.</x:v>
      </x:c>
      <x:c r="O139" s="13" t="str"/>
      <x:c r="P139" s="13" t="str">
        <x:v>Malakas na makina ng maliit na gawaan sa residential area</x:v>
      </x:c>
      <x:c r="Q139" s="13" t="str">
        <x:v>Added to balance 'nuisance' to 49 examples using the same Justice KP label schema.</x:v>
      </x:c>
      <x:c r="R139" s="13" t="str">
        <x:v>Synthetic row based on category coverage gap from uploaded PDF</x:v>
      </x:c>
    </x:row>
    <x:row r="140" ht="36" customHeight="1">
      <x:c r="A140" s="13" t="str">
        <x:v>SYN-NUIS-037</x:v>
      </x:c>
      <x:c r="B140" s="13" t="str">
        <x:v>nuisance</x:v>
      </x:c>
      <x:c r="C140" s="13" t="str">
        <x:v>Synthetic</x:v>
      </x:c>
      <x:c r="D140" s="13" t="str"/>
      <x:c r="E140" s="13" t="str">
        <x:v>Civil</x:v>
      </x:c>
      <x:c r="F140" s="13" t="str">
        <x:v>Pagkalat ng basura sa harap ng bahay ng kapitbahay</x:v>
      </x:c>
      <x:c r="G140" s="13" t="str">
        <x:v>April 23, 2026</x:v>
      </x:c>
      <x:c r="H140" s="13" t="str">
        <x:v>-</x:v>
      </x:c>
      <x:c r="I140" s="13" t="str">
        <x:v>Synthetic example: parties are neighbors/residents; no prior court filing stated; for barangay mediation eligibility screening.</x:v>
      </x:c>
      <x:c r="J140" s="13" t="str">
        <x:v>For Mediation</x:v>
      </x:c>
      <x:c r="K140" s="13" t="str">
        <x:v>KP_COVERED_AMICABLE</x:v>
      </x:c>
      <x:c r="L140" s="13" t="str">
        <x:v>Eligible for KP screening</x:v>
      </x:c>
      <x:c r="M140" s="13" t="str">
        <x:v>Proceed to barangay conciliation / mediation screening</x:v>
      </x:c>
      <x:c r="N140" s="13" t="str">
        <x:v>Local neighbor nuisance dispute.</x:v>
      </x:c>
      <x:c r="O140" s="13" t="str"/>
      <x:c r="P140" s="13" t="str">
        <x:v>Pagkalat ng basura sa harap ng bahay ng kapitbahay</x:v>
      </x:c>
      <x:c r="Q140" s="13" t="str">
        <x:v>Added to balance 'nuisance' to 49 examples using the same Justice KP label schema.</x:v>
      </x:c>
      <x:c r="R140" s="13" t="str">
        <x:v>Synthetic row based on category coverage gap from uploaded PDF</x:v>
      </x:c>
    </x:row>
    <x:row r="141" ht="36" customHeight="1">
      <x:c r="A141" s="13" t="str">
        <x:v>SYN-NUIS-038</x:v>
      </x:c>
      <x:c r="B141" s="13" t="str">
        <x:v>nuisance</x:v>
      </x:c>
      <x:c r="C141" s="13" t="str">
        <x:v>Synthetic</x:v>
      </x:c>
      <x:c r="D141" s="13" t="str"/>
      <x:c r="E141" s="13" t="str">
        <x:v>Civil</x:v>
      </x:c>
      <x:c r="F141" s="13" t="str">
        <x:v>Tubig at putik na umaagos mula sa tindahan papunta sa bahay</x:v>
      </x:c>
      <x:c r="G141" s="13" t="str">
        <x:v>April 26, 2026</x:v>
      </x:c>
      <x:c r="H141" s="13" t="str">
        <x:v>-</x:v>
      </x:c>
      <x:c r="I141" s="13" t="str">
        <x:v>Synthetic example: parties are neighbors/residents; no prior court filing stated; for barangay mediation eligibility screening.</x:v>
      </x:c>
      <x:c r="J141" s="13" t="str">
        <x:v>For Mediation</x:v>
      </x:c>
      <x:c r="K141" s="13" t="str">
        <x:v>KP_COVERED_AMICABLE</x:v>
      </x:c>
      <x:c r="L141" s="13" t="str">
        <x:v>Eligible for KP screening</x:v>
      </x:c>
      <x:c r="M141" s="13" t="str">
        <x:v>Proceed to barangay conciliation / mediation screening</x:v>
      </x:c>
      <x:c r="N141" s="13" t="str">
        <x:v>Local neighbor nuisance dispute.</x:v>
      </x:c>
      <x:c r="O141" s="13" t="str"/>
      <x:c r="P141" s="13" t="str">
        <x:v>Tubig at putik na umaagos mula sa tindahan papunta sa bahay</x:v>
      </x:c>
      <x:c r="Q141" s="13" t="str">
        <x:v>Added to balance 'nuisance' to 49 examples using the same Justice KP label schema.</x:v>
      </x:c>
      <x:c r="R141" s="13" t="str">
        <x:v>Synthetic row based on category coverage gap from uploaded PDF</x:v>
      </x:c>
    </x:row>
    <x:row r="142" ht="36" customHeight="1">
      <x:c r="A142" s="13" t="str">
        <x:v>SYN-NUIS-039</x:v>
      </x:c>
      <x:c r="B142" s="13" t="str">
        <x:v>nuisance</x:v>
      </x:c>
      <x:c r="C142" s="13" t="str">
        <x:v>Synthetic</x:v>
      </x:c>
      <x:c r="D142" s="13" t="str"/>
      <x:c r="E142" s="13" t="str">
        <x:v>Civil</x:v>
      </x:c>
      <x:c r="F142" s="13" t="str">
        <x:v>Tahol ng aso sa madaling araw na nagiging istorbo</x:v>
      </x:c>
      <x:c r="G142" s="13" t="str">
        <x:v>April 29, 2026</x:v>
      </x:c>
      <x:c r="H142" s="13" t="str">
        <x:v>-</x:v>
      </x:c>
      <x:c r="I142" s="13" t="str">
        <x:v>Synthetic example: parties are neighbors/residents; no prior court filing stated; for barangay mediation eligibility screening.</x:v>
      </x:c>
      <x:c r="J142" s="13" t="str">
        <x:v>For Mediation</x:v>
      </x:c>
      <x:c r="K142" s="13" t="str">
        <x:v>KP_COVERED_AMICABLE</x:v>
      </x:c>
      <x:c r="L142" s="13" t="str">
        <x:v>Eligible for KP screening</x:v>
      </x:c>
      <x:c r="M142" s="13" t="str">
        <x:v>Proceed to barangay conciliation / mediation screening</x:v>
      </x:c>
      <x:c r="N142" s="13" t="str">
        <x:v>Local neighbor nuisance dispute.</x:v>
      </x:c>
      <x:c r="O142" s="13" t="str"/>
      <x:c r="P142" s="13" t="str">
        <x:v>Tahol ng aso sa madaling araw na nagiging istorbo</x:v>
      </x:c>
      <x:c r="Q142" s="13" t="str">
        <x:v>Added to balance 'nuisance' to 49 examples using the same Justice KP label schema.</x:v>
      </x:c>
      <x:c r="R142" s="13" t="str">
        <x:v>Synthetic row based on category coverage gap from uploaded PDF</x:v>
      </x:c>
    </x:row>
    <x:row r="143" ht="36" customHeight="1">
      <x:c r="A143" s="13" t="str">
        <x:v>SYN-NUIS-040</x:v>
      </x:c>
      <x:c r="B143" s="13" t="str">
        <x:v>nuisance</x:v>
      </x:c>
      <x:c r="C143" s="13" t="str">
        <x:v>Synthetic</x:v>
      </x:c>
      <x:c r="D143" s="13" t="str"/>
      <x:c r="E143" s="13" t="str">
        <x:v>Civil</x:v>
      </x:c>
      <x:c r="F143" s="13" t="str">
        <x:v>Pag-iinom at pagsisigawan sa labas ng bahay tuwing gabi</x:v>
      </x:c>
      <x:c r="G143" s="13" t="str">
        <x:v>May 2, 2026</x:v>
      </x:c>
      <x:c r="H143" s="13" t="str">
        <x:v>-</x:v>
      </x:c>
      <x:c r="I143" s="13" t="str">
        <x:v>Synthetic example: parties are neighbors/residents; no prior court filing stated; for barangay mediation eligibility screening.</x:v>
      </x:c>
      <x:c r="J143" s="13" t="str">
        <x:v>For Mediation</x:v>
      </x:c>
      <x:c r="K143" s="13" t="str">
        <x:v>KP_COVERED_AMICABLE</x:v>
      </x:c>
      <x:c r="L143" s="13" t="str">
        <x:v>Eligible for KP screening</x:v>
      </x:c>
      <x:c r="M143" s="13" t="str">
        <x:v>Proceed to barangay conciliation / mediation screening</x:v>
      </x:c>
      <x:c r="N143" s="13" t="str">
        <x:v>Local neighbor nuisance dispute.</x:v>
      </x:c>
      <x:c r="O143" s="13" t="str"/>
      <x:c r="P143" s="13" t="str">
        <x:v>Pag-iinom at pagsisigawan sa labas ng bahay tuwing gabi</x:v>
      </x:c>
      <x:c r="Q143" s="13" t="str">
        <x:v>Added to balance 'nuisance' to 49 examples using the same Justice KP label schema.</x:v>
      </x:c>
      <x:c r="R143" s="13" t="str">
        <x:v>Synthetic row based on category coverage gap from uploaded PDF</x:v>
      </x:c>
    </x:row>
    <x:row r="144" ht="36" customHeight="1">
      <x:c r="A144" s="13" t="str">
        <x:v>SYN-NUIS-041</x:v>
      </x:c>
      <x:c r="B144" s="13" t="str">
        <x:v>nuisance</x:v>
      </x:c>
      <x:c r="C144" s="13" t="str">
        <x:v>Synthetic</x:v>
      </x:c>
      <x:c r="D144" s="13" t="str"/>
      <x:c r="E144" s="13" t="str">
        <x:v>Civil</x:v>
      </x:c>
      <x:c r="F144" s="13" t="str">
        <x:v>Reklamo sa malakas na videoke tuwing gabi</x:v>
      </x:c>
      <x:c r="G144" s="13" t="str">
        <x:v>May 5, 2026</x:v>
      </x:c>
      <x:c r="H144" s="13" t="str">
        <x:v>-</x:v>
      </x:c>
      <x:c r="I144" s="13" t="str">
        <x:v>Synthetic example: parties are neighbors/residents; no prior court filing stated; for barangay mediation eligibility screening.</x:v>
      </x:c>
      <x:c r="J144" s="13" t="str">
        <x:v>For Mediation</x:v>
      </x:c>
      <x:c r="K144" s="13" t="str">
        <x:v>KP_COVERED_AMICABLE</x:v>
      </x:c>
      <x:c r="L144" s="13" t="str">
        <x:v>Eligible for KP screening</x:v>
      </x:c>
      <x:c r="M144" s="13" t="str">
        <x:v>Proceed to barangay conciliation / mediation screening</x:v>
      </x:c>
      <x:c r="N144" s="13" t="str">
        <x:v>Local neighbor nuisance dispute.</x:v>
      </x:c>
      <x:c r="O144" s="13" t="str"/>
      <x:c r="P144" s="13" t="str">
        <x:v>Reklamo sa malakas na videoke tuwing gabi</x:v>
      </x:c>
      <x:c r="Q144" s="13" t="str">
        <x:v>Added to balance 'nuisance' to 49 examples using the same Justice KP label schema.</x:v>
      </x:c>
      <x:c r="R144" s="13" t="str">
        <x:v>Synthetic row based on category coverage gap from uploaded PDF</x:v>
      </x:c>
    </x:row>
    <x:row r="145" ht="36" customHeight="1">
      <x:c r="A145" s="13" t="str">
        <x:v>SYN-NUIS-042</x:v>
      </x:c>
      <x:c r="B145" s="13" t="str">
        <x:v>nuisance</x:v>
      </x:c>
      <x:c r="C145" s="13" t="str">
        <x:v>Synthetic</x:v>
      </x:c>
      <x:c r="D145" s="13" t="str"/>
      <x:c r="E145" s="13" t="str">
        <x:v>Civil</x:v>
      </x:c>
      <x:c r="F145" s="13" t="str">
        <x:v>Pag-iingay ng motorsiklo sa dis-oras ng gabi</x:v>
      </x:c>
      <x:c r="G145" s="13" t="str">
        <x:v>May 8, 2026</x:v>
      </x:c>
      <x:c r="H145" s="13" t="str">
        <x:v>-</x:v>
      </x:c>
      <x:c r="I145" s="13" t="str">
        <x:v>Synthetic example: parties are neighbors/residents; no prior court filing stated; for barangay mediation eligibility screening.</x:v>
      </x:c>
      <x:c r="J145" s="13" t="str">
        <x:v>For Mediation</x:v>
      </x:c>
      <x:c r="K145" s="13" t="str">
        <x:v>KP_COVERED_AMICABLE</x:v>
      </x:c>
      <x:c r="L145" s="13" t="str">
        <x:v>Eligible for KP screening</x:v>
      </x:c>
      <x:c r="M145" s="13" t="str">
        <x:v>Proceed to barangay conciliation / mediation screening</x:v>
      </x:c>
      <x:c r="N145" s="13" t="str">
        <x:v>Local neighbor nuisance dispute.</x:v>
      </x:c>
      <x:c r="O145" s="13" t="str"/>
      <x:c r="P145" s="13" t="str">
        <x:v>Pag-iingay ng motorsiklo sa dis-oras ng gabi</x:v>
      </x:c>
      <x:c r="Q145" s="13" t="str">
        <x:v>Added to balance 'nuisance' to 49 examples using the same Justice KP label schema.</x:v>
      </x:c>
      <x:c r="R145" s="13" t="str">
        <x:v>Synthetic row based on category coverage gap from uploaded PDF</x:v>
      </x:c>
    </x:row>
    <x:row r="146" ht="36" customHeight="1">
      <x:c r="A146" s="13" t="str">
        <x:v>SYN-NUIS-043</x:v>
      </x:c>
      <x:c r="B146" s="13" t="str">
        <x:v>nuisance</x:v>
      </x:c>
      <x:c r="C146" s="13" t="str">
        <x:v>Synthetic</x:v>
      </x:c>
      <x:c r="D146" s="13" t="str"/>
      <x:c r="E146" s="13" t="str">
        <x:v>Civil</x:v>
      </x:c>
      <x:c r="F146" s="13" t="str">
        <x:v>Amoy ng kulungan ng manok na nakakaistorbo sa kapitbahay</x:v>
      </x:c>
      <x:c r="G146" s="13" t="str">
        <x:v>May 11, 2026</x:v>
      </x:c>
      <x:c r="H146" s="13" t="str">
        <x:v>-</x:v>
      </x:c>
      <x:c r="I146" s="13" t="str">
        <x:v>Synthetic example: parties are neighbors/residents; no prior court filing stated; for barangay mediation eligibility screening.</x:v>
      </x:c>
      <x:c r="J146" s="13" t="str">
        <x:v>For Mediation</x:v>
      </x:c>
      <x:c r="K146" s="13" t="str">
        <x:v>KP_COVERED_AMICABLE</x:v>
      </x:c>
      <x:c r="L146" s="13" t="str">
        <x:v>Eligible for KP screening</x:v>
      </x:c>
      <x:c r="M146" s="13" t="str">
        <x:v>Proceed to barangay conciliation / mediation screening</x:v>
      </x:c>
      <x:c r="N146" s="13" t="str">
        <x:v>Local neighbor nuisance dispute.</x:v>
      </x:c>
      <x:c r="O146" s="13" t="str"/>
      <x:c r="P146" s="13" t="str">
        <x:v>Amoy ng kulungan ng manok na nakakaistorbo sa kapitbahay</x:v>
      </x:c>
      <x:c r="Q146" s="13" t="str">
        <x:v>Added to balance 'nuisance' to 49 examples using the same Justice KP label schema.</x:v>
      </x:c>
      <x:c r="R146" s="13" t="str">
        <x:v>Synthetic row based on category coverage gap from uploaded PDF</x:v>
      </x:c>
    </x:row>
    <x:row r="147" ht="36" customHeight="1">
      <x:c r="A147" s="13" t="str">
        <x:v>SYN-NUIS-044</x:v>
      </x:c>
      <x:c r="B147" s="13" t="str">
        <x:v>nuisance</x:v>
      </x:c>
      <x:c r="C147" s="13" t="str">
        <x:v>Synthetic</x:v>
      </x:c>
      <x:c r="D147" s="13" t="str"/>
      <x:c r="E147" s="13" t="str">
        <x:v>Civil</x:v>
      </x:c>
      <x:c r="F147" s="13" t="str">
        <x:v>Usok mula sa sinusunog na basura sa tabi ng bahay</x:v>
      </x:c>
      <x:c r="G147" s="13" t="str">
        <x:v>May 14, 2026</x:v>
      </x:c>
      <x:c r="H147" s="13" t="str">
        <x:v>-</x:v>
      </x:c>
      <x:c r="I147" s="13" t="str">
        <x:v>Synthetic example: parties are neighbors/residents; no prior court filing stated; for barangay mediation eligibility screening.</x:v>
      </x:c>
      <x:c r="J147" s="13" t="str">
        <x:v>For Mediation</x:v>
      </x:c>
      <x:c r="K147" s="13" t="str">
        <x:v>KP_COVERED_AMICABLE</x:v>
      </x:c>
      <x:c r="L147" s="13" t="str">
        <x:v>Eligible for KP screening</x:v>
      </x:c>
      <x:c r="M147" s="13" t="str">
        <x:v>Proceed to barangay conciliation / mediation screening</x:v>
      </x:c>
      <x:c r="N147" s="13" t="str">
        <x:v>Local neighbor nuisance dispute.</x:v>
      </x:c>
      <x:c r="O147" s="13" t="str"/>
      <x:c r="P147" s="13" t="str">
        <x:v>Usok mula sa sinusunog na basura sa tabi ng bahay</x:v>
      </x:c>
      <x:c r="Q147" s="13" t="str">
        <x:v>Added to balance 'nuisance' to 49 examples using the same Justice KP label schema.</x:v>
      </x:c>
      <x:c r="R147" s="13" t="str">
        <x:v>Synthetic row based on category coverage gap from uploaded PDF</x:v>
      </x:c>
    </x:row>
    <x:row r="148" ht="36" customHeight="1">
      <x:c r="A148" s="13" t="str">
        <x:v>SYN-NUIS-045</x:v>
      </x:c>
      <x:c r="B148" s="13" t="str">
        <x:v>nuisance</x:v>
      </x:c>
      <x:c r="C148" s="13" t="str">
        <x:v>Synthetic</x:v>
      </x:c>
      <x:c r="D148" s="13" t="str"/>
      <x:c r="E148" s="13" t="str">
        <x:v>Civil</x:v>
      </x:c>
      <x:c r="F148" s="13" t="str">
        <x:v>Pagparada ng sasakyan na nakaharang sa daanan</x:v>
      </x:c>
      <x:c r="G148" s="13" t="str">
        <x:v>May 17, 2026</x:v>
      </x:c>
      <x:c r="H148" s="13" t="str">
        <x:v>-</x:v>
      </x:c>
      <x:c r="I148" s="13" t="str">
        <x:v>Synthetic example: parties are neighbors/residents; no prior court filing stated; for barangay mediation eligibility screening.</x:v>
      </x:c>
      <x:c r="J148" s="13" t="str">
        <x:v>For Mediation</x:v>
      </x:c>
      <x:c r="K148" s="13" t="str">
        <x:v>KP_COVERED_AMICABLE</x:v>
      </x:c>
      <x:c r="L148" s="13" t="str">
        <x:v>Eligible for KP screening</x:v>
      </x:c>
      <x:c r="M148" s="13" t="str">
        <x:v>Proceed to barangay conciliation / mediation screening</x:v>
      </x:c>
      <x:c r="N148" s="13" t="str">
        <x:v>Local neighbor nuisance dispute.</x:v>
      </x:c>
      <x:c r="O148" s="13" t="str"/>
      <x:c r="P148" s="13" t="str">
        <x:v>Pagparada ng sasakyan na nakaharang sa daanan</x:v>
      </x:c>
      <x:c r="Q148" s="13" t="str">
        <x:v>Added to balance 'nuisance' to 49 examples using the same Justice KP label schema.</x:v>
      </x:c>
      <x:c r="R148" s="13" t="str">
        <x:v>Synthetic row based on category coverage gap from uploaded PDF</x:v>
      </x:c>
    </x:row>
    <x:row r="149" ht="36" customHeight="1">
      <x:c r="A149" s="13" t="str">
        <x:v>KP-25-001-PSWT</x:v>
      </x:c>
      <x:c r="B149" s="13" t="str">
        <x:v>physical injury</x:v>
      </x:c>
      <x:c r="C149" s="13" t="str">
        <x:v>Real PDF</x:v>
      </x:c>
      <x:c r="D149" s="13" t="str">
        <x:v>KP-25-001-PSWT</x:v>
      </x:c>
      <x:c r="E149" s="13" t="str">
        <x:v>Criminal</x:v>
      </x:c>
      <x:c r="F149" s="13" t="str">
        <x:v>Pambubugbog ng kasamahan sa capitol compound</x:v>
      </x:c>
      <x:c r="G149" s="13" t="str">
        <x:v>January 2, 2025</x:v>
      </x:c>
      <x:c r="H149" s="13" t="str">
        <x:v>January 30, 2025</x:v>
      </x:c>
      <x:c r="I149" s="13" t="str">
        <x:v>Nagkaroon ng pagkakasundo na ibibigay ang halagang P20,000 ng ipinagsumbong sa maysumbong</x:v>
      </x:c>
      <x:c r="J149" s="13" t="str">
        <x:v>Settled</x:v>
      </x:c>
      <x:c r="K149" s="13" t="str">
        <x:v>KP_COVERED_AMICABLE</x:v>
      </x:c>
      <x:c r="L149" s="13" t="str">
        <x:v>Eligible for KP screening</x:v>
      </x:c>
      <x:c r="M149" s="13" t="str">
        <x:v>Proceed to barangay conciliation / mediation screening</x:v>
      </x:c>
      <x:c r="N149" s="13" t="str">
        <x:v>Minor physical injury or altercation example; system should still screen severity, weapons, and medical findings.</x:v>
      </x:c>
      <x:c r="O149" s="13" t="str">
        <x:v>P20,000</x:v>
      </x:c>
      <x:c r="P149" s="13" t="str">
        <x:v>Pambubugbog ng kasamahan sa capitol compound</x:v>
      </x:c>
      <x:c r="Q149" s="13" t="str"/>
      <x:c r="R149" s="13" t="str">
        <x:v>KP CASE PSWT - Sheet1 - KP CASE PSWT - Sheet1.pdf</x:v>
      </x:c>
    </x:row>
    <x:row r="150" ht="36" customHeight="1">
      <x:c r="A150" s="13" t="str">
        <x:v>KP-25-018-PSWT</x:v>
      </x:c>
      <x:c r="B150" s="13" t="str">
        <x:v>physical injury</x:v>
      </x:c>
      <x:c r="C150" s="13" t="str">
        <x:v>Real PDF</x:v>
      </x:c>
      <x:c r="D150" s="13" t="str">
        <x:v>KP-25-018-PSWT</x:v>
      </x:c>
      <x:c r="E150" s="13" t="str">
        <x:v>Criminal</x:v>
      </x:c>
      <x:c r="F150" s="13" t="str">
        <x:v>Pananakit</x:v>
      </x:c>
      <x:c r="G150" s="13" t="str">
        <x:v>February 13, 2025</x:v>
      </x:c>
      <x:c r="H150" s="13" t="str">
        <x:v>-</x:v>
      </x:c>
      <x:c r="I150" s="13" t="str">
        <x:v>Nagkaroon ng paghaharap subalit walang pagkakasundo. At ang maysumbong ay hindi na bumalik.</x:v>
      </x:c>
      <x:c r="J150" s="13" t="str">
        <x:v>Endorsed</x:v>
      </x:c>
      <x:c r="K150" s="13" t="str">
        <x:v>KP_COVERED_AMICABLE</x:v>
      </x:c>
      <x:c r="L150" s="13" t="str">
        <x:v>Eligible for KP screening</x:v>
      </x:c>
      <x:c r="M150" s="13" t="str">
        <x:v>Proceed to barangay conciliation / mediation screening</x:v>
      </x:c>
      <x:c r="N150" s="13" t="str">
        <x:v>Minor physical injury or altercation example; system should still screen severity, weapons, and medical findings.</x:v>
      </x:c>
      <x:c r="O150" s="13" t="str"/>
      <x:c r="P150" s="13" t="str">
        <x:v>Pananakit</x:v>
      </x:c>
      <x:c r="Q150" s="13" t="str"/>
      <x:c r="R150" s="13" t="str">
        <x:v>KP CASE PSWT - Sheet1 - KP CASE PSWT - Sheet1.pdf</x:v>
      </x:c>
    </x:row>
    <x:row r="151" ht="36" customHeight="1">
      <x:c r="A151" s="13" t="str">
        <x:v>KP-25-026-PSWT</x:v>
      </x:c>
      <x:c r="B151" s="13" t="str">
        <x:v>physical injury</x:v>
      </x:c>
      <x:c r="C151" s="13" t="str">
        <x:v>Real PDF</x:v>
      </x:c>
      <x:c r="D151" s="13" t="str">
        <x:v>KP-25-026-PSWT</x:v>
      </x:c>
      <x:c r="E151" s="13" t="str">
        <x:v>Criminal</x:v>
      </x:c>
      <x:c r="F151" s="13" t="str">
        <x:v>Pambubugbog</x:v>
      </x:c>
      <x:c r="G151" s="13" t="str">
        <x:v>March 12, 2025</x:v>
      </x:c>
      <x:c r="H151" s="13" t="str">
        <x:v>-</x:v>
      </x:c>
      <x:c r="I151" s="13" t="str">
        <x:v>Nagkaroon ng pagkakasundo humingi ng pasensya ang bawat isa at nangako na hindi na mauulit.</x:v>
      </x:c>
      <x:c r="J151" s="13" t="str">
        <x:v>Settled</x:v>
      </x:c>
      <x:c r="K151" s="13" t="str">
        <x:v>KP_COVERED_AMICABLE</x:v>
      </x:c>
      <x:c r="L151" s="13" t="str">
        <x:v>Eligible for KP screening</x:v>
      </x:c>
      <x:c r="M151" s="13" t="str">
        <x:v>Proceed to barangay conciliation / mediation screening</x:v>
      </x:c>
      <x:c r="N151" s="13" t="str">
        <x:v>Minor physical injury or altercation example; system should still screen severity, weapons, and medical findings.</x:v>
      </x:c>
      <x:c r="O151" s="13" t="str"/>
      <x:c r="P151" s="13" t="str">
        <x:v>Pambubugbog</x:v>
      </x:c>
      <x:c r="Q151" s="13" t="str"/>
      <x:c r="R151" s="13" t="str">
        <x:v>KP CASE PSWT - Sheet1 - KP CASE PSWT - Sheet1.pdf</x:v>
      </x:c>
    </x:row>
    <x:row r="152" ht="36" customHeight="1">
      <x:c r="A152" s="13" t="str">
        <x:v>KP-25-035-PSWT</x:v>
      </x:c>
      <x:c r="B152" s="13" t="str">
        <x:v>physical injury</x:v>
      </x:c>
      <x:c r="C152" s="13" t="str">
        <x:v>Real PDF</x:v>
      </x:c>
      <x:c r="D152" s="13" t="str">
        <x:v>KP-25-035-PSWT</x:v>
      </x:c>
      <x:c r="E152" s="13" t="str">
        <x:v>Criminal</x:v>
      </x:c>
      <x:c r="F152" s="13" t="str">
        <x:v>Panununtok</x:v>
      </x:c>
      <x:c r="G152" s="13" t="str">
        <x:v>March 31, 2025</x:v>
      </x:c>
      <x:c r="H152" s="13" t="str">
        <x:v>April 9, 2025</x:v>
      </x:c>
      <x:c r="I152" s="13" t="str">
        <x:v>Nagkaroon ng pagkakasundo humingi ng pasensya ang ipinagsumbong sa maysumbong at nangako na hindi na mauulit. Tinanggap ng maysumbong ang paghingi ng pasensya ng ipinagsusumbong.</x:v>
      </x:c>
      <x:c r="J152" s="13" t="str">
        <x:v>Settled</x:v>
      </x:c>
      <x:c r="K152" s="13" t="str">
        <x:v>KP_COVERED_AMICABLE</x:v>
      </x:c>
      <x:c r="L152" s="13" t="str">
        <x:v>Eligible for KP screening</x:v>
      </x:c>
      <x:c r="M152" s="13" t="str">
        <x:v>Proceed to barangay conciliation / mediation screening</x:v>
      </x:c>
      <x:c r="N152" s="13" t="str">
        <x:v>Minor physical injury or altercation example; system should still screen severity, weapons, and medical findings.</x:v>
      </x:c>
      <x:c r="O152" s="13" t="str"/>
      <x:c r="P152" s="13" t="str">
        <x:v>Panununtok</x:v>
      </x:c>
      <x:c r="Q152" s="13" t="str"/>
      <x:c r="R152" s="13" t="str">
        <x:v>KP CASE PSWT - Sheet1 - KP CASE PSWT - Sheet1.pdf</x:v>
      </x:c>
    </x:row>
    <x:row r="153" ht="36" customHeight="1">
      <x:c r="A153" s="13" t="str">
        <x:v>KP-25-037-PSWT</x:v>
      </x:c>
      <x:c r="B153" s="13" t="str">
        <x:v>physical injury</x:v>
      </x:c>
      <x:c r="C153" s="13" t="str">
        <x:v>Real PDF</x:v>
      </x:c>
      <x:c r="D153" s="13" t="str">
        <x:v>KP-25-037-PSWT</x:v>
      </x:c>
      <x:c r="E153" s="13" t="str">
        <x:v>Criminal</x:v>
      </x:c>
      <x:c r="F153" s="13" t="str">
        <x:v>Panununtok</x:v>
      </x:c>
      <x:c r="G153" s="13" t="str">
        <x:v>April 17, 2025</x:v>
      </x:c>
      <x:c r="H153" s="13" t="str">
        <x:v>-</x:v>
      </x:c>
      <x:c r="I153" s="13" t="str">
        <x:v>Walang pagkakasundo sa dalawang panig.</x:v>
      </x:c>
      <x:c r="J153" s="13" t="str">
        <x:v>Pending</x:v>
      </x:c>
      <x:c r="K153" s="13" t="str">
        <x:v>KP_COVERED_AMICABLE</x:v>
      </x:c>
      <x:c r="L153" s="13" t="str">
        <x:v>Eligible for KP screening</x:v>
      </x:c>
      <x:c r="M153" s="13" t="str">
        <x:v>Proceed to barangay conciliation / mediation screening</x:v>
      </x:c>
      <x:c r="N153" s="13" t="str">
        <x:v>Minor physical injury or altercation example; system should still screen severity, weapons, and medical findings.</x:v>
      </x:c>
      <x:c r="O153" s="13" t="str"/>
      <x:c r="P153" s="13" t="str">
        <x:v>Panununtok</x:v>
      </x:c>
      <x:c r="Q153" s="13" t="str"/>
      <x:c r="R153" s="13" t="str">
        <x:v>KP CASE PSWT - Sheet1 - KP CASE PSWT - Sheet1.pdf</x:v>
      </x:c>
    </x:row>
    <x:row r="154" ht="36" customHeight="1">
      <x:c r="A154" s="13" t="str">
        <x:v>KP-25-061-PSWT</x:v>
      </x:c>
      <x:c r="B154" s="13" t="str">
        <x:v>physical injury</x:v>
      </x:c>
      <x:c r="C154" s="13" t="str">
        <x:v>Real PDF</x:v>
      </x:c>
      <x:c r="D154" s="13" t="str">
        <x:v>KP-25-061-PSWT</x:v>
      </x:c>
      <x:c r="E154" s="13" t="str">
        <x:v>Criminal</x:v>
      </x:c>
      <x:c r="F154" s="13" t="str">
        <x:v>Pagbibintang na pinalo sa ulo ng tablet</x:v>
      </x:c>
      <x:c r="G154" s="13" t="str">
        <x:v>July 4, 2025</x:v>
      </x:c>
      <x:c r="H154" s="13" t="str">
        <x:v>July 16, 2025</x:v>
      </x:c>
      <x:c r="I154" s="13" t="str">
        <x:v>Walang pagkakasundo sa dalawang panig kaya't ang maysumbong ay may karapatan ng maghain ng kaukulang reklamo sa kinauukulang tanggapan.</x:v>
      </x:c>
      <x:c r="J154" s="13" t="str">
        <x:v>Pending</x:v>
      </x:c>
      <x:c r="K154" s="13" t="str">
        <x:v>KP_COVERED_AMICABLE</x:v>
      </x:c>
      <x:c r="L154" s="13" t="str">
        <x:v>Eligible for KP screening</x:v>
      </x:c>
      <x:c r="M154" s="13" t="str">
        <x:v>Proceed to barangay conciliation / mediation screening</x:v>
      </x:c>
      <x:c r="N154" s="13" t="str">
        <x:v>Minor physical injury or altercation example; system should still screen severity, weapons, and medical findings.</x:v>
      </x:c>
      <x:c r="O154" s="13" t="str"/>
      <x:c r="P154" s="13" t="str">
        <x:v>Pagbibintang na pinalo sa ulo ng tablet</x:v>
      </x:c>
      <x:c r="Q154" s="13" t="str"/>
      <x:c r="R154" s="13" t="str">
        <x:v>KP CASE PSWT - Sheet1 - KP CASE PSWT - Sheet1.pdf</x:v>
      </x:c>
    </x:row>
    <x:row r="155" ht="36" customHeight="1">
      <x:c r="A155" s="13" t="str">
        <x:v>KP-25-070-PSWT</x:v>
      </x:c>
      <x:c r="B155" s="13" t="str">
        <x:v>physical injury</x:v>
      </x:c>
      <x:c r="C155" s="13" t="str">
        <x:v>Real PDF</x:v>
      </x:c>
      <x:c r="D155" s="13" t="str">
        <x:v>KP-25-070-PSWT</x:v>
      </x:c>
      <x:c r="E155" s="13" t="str">
        <x:v>Criminal</x:v>
      </x:c>
      <x:c r="F155" s="13" t="str">
        <x:v>Panununtok sa liga ng basketball</x:v>
      </x:c>
      <x:c r="G155" s="13" t="str">
        <x:v>August 8, 2025</x:v>
      </x:c>
      <x:c r="H155" s="13" t="str">
        <x:v>-</x:v>
      </x:c>
      <x:c r="I155" s="13" t="str">
        <x:v>Walang pagkakasundo sa dalawang panig kaya't ang maysumbong ay may karapatan ng maghain ng kaukulang reklamo sa kinauukulang tanggapan.</x:v>
      </x:c>
      <x:c r="J155" s="13" t="str">
        <x:v>Endorsed</x:v>
      </x:c>
      <x:c r="K155" s="13" t="str">
        <x:v>KP_COVERED_AMICABLE</x:v>
      </x:c>
      <x:c r="L155" s="13" t="str">
        <x:v>Eligible for KP screening</x:v>
      </x:c>
      <x:c r="M155" s="13" t="str">
        <x:v>Proceed to barangay conciliation / mediation screening</x:v>
      </x:c>
      <x:c r="N155" s="13" t="str">
        <x:v>Minor physical injury or altercation example; system should still screen severity, weapons, and medical findings.</x:v>
      </x:c>
      <x:c r="O155" s="13" t="str"/>
      <x:c r="P155" s="13" t="str">
        <x:v>Panununtok sa liga ng basketball</x:v>
      </x:c>
      <x:c r="Q155" s="13" t="str"/>
      <x:c r="R155" s="13" t="str">
        <x:v>KP CASE PSWT - Sheet1 - KP CASE PSWT - Sheet1.pdf</x:v>
      </x:c>
    </x:row>
    <x:row r="156" ht="36" customHeight="1">
      <x:c r="A156" s="13" t="str">
        <x:v>KP-25-072-PSWT</x:v>
      </x:c>
      <x:c r="B156" s="13" t="str">
        <x:v>physical injury</x:v>
      </x:c>
      <x:c r="C156" s="13" t="str">
        <x:v>Real PDF</x:v>
      </x:c>
      <x:c r="D156" s="13" t="str">
        <x:v>KP-25-072-PSWT</x:v>
      </x:c>
      <x:c r="E156" s="13" t="str">
        <x:v>Criminal</x:v>
      </x:c>
      <x:c r="F156" s="13" t="str">
        <x:v>Physical injury at oral defamation</x:v>
      </x:c>
      <x:c r="G156" s="13" t="str">
        <x:v>August 11, 2025</x:v>
      </x:c>
      <x:c r="H156" s="13" t="str">
        <x:v>-</x:v>
      </x:c>
      <x:c r="I156" s="13" t="str">
        <x:v>Walang pagkakasundo subalit ang maysumbong ay nagsabi na lang na bayaran na lang ang utang sa bigas na kinuha na nagkakahalaga ng P5,300.</x:v>
      </x:c>
      <x:c r="J156" s="13" t="str">
        <x:v>Settled</x:v>
      </x:c>
      <x:c r="K156" s="13" t="str">
        <x:v>KP_COVERED_AMICABLE</x:v>
      </x:c>
      <x:c r="L156" s="13" t="str">
        <x:v>Eligible for KP screening</x:v>
      </x:c>
      <x:c r="M156" s="13" t="str">
        <x:v>Proceed to barangay conciliation / mediation screening</x:v>
      </x:c>
      <x:c r="N156" s="13" t="str">
        <x:v>Minor physical injury or altercation example; system should still screen severity, weapons, and medical findings.</x:v>
      </x:c>
      <x:c r="O156" s="13" t="str">
        <x:v>P5,300</x:v>
      </x:c>
      <x:c r="P156" s="13" t="str">
        <x:v>Physical injury at oral defamation</x:v>
      </x:c>
      <x:c r="Q156" s="13" t="str"/>
      <x:c r="R156" s="13" t="str">
        <x:v>KP CASE PSWT - Sheet1 - KP CASE PSWT - Sheet1.pdf</x:v>
      </x:c>
    </x:row>
    <x:row r="157" ht="36" customHeight="1">
      <x:c r="A157" s="13" t="str">
        <x:v>KP-25-073-PSWT</x:v>
      </x:c>
      <x:c r="B157" s="13" t="str">
        <x:v>physical injury</x:v>
      </x:c>
      <x:c r="C157" s="13" t="str">
        <x:v>Real PDF</x:v>
      </x:c>
      <x:c r="D157" s="13" t="str">
        <x:v>KP-25-073-PSWT</x:v>
      </x:c>
      <x:c r="E157" s="13" t="str">
        <x:v>Criminal</x:v>
      </x:c>
      <x:c r="F157" s="13" t="str">
        <x:v>Panununtok</x:v>
      </x:c>
      <x:c r="G157" s="13" t="str">
        <x:v>August 13, 2025</x:v>
      </x:c>
      <x:c r="H157" s="13" t="str">
        <x:v>August 26, 2025</x:v>
      </x:c>
      <x:c r="I157" s="13" t="str">
        <x:v>Walang pagkakasundo subalit ang maysumbong ay nagsabi na lang na bayaran na lang ang utang sa bigas na kinuha na nagkakahalaga ng P5,300.</x:v>
      </x:c>
      <x:c r="J157" s="13" t="str">
        <x:v>Settled</x:v>
      </x:c>
      <x:c r="K157" s="13" t="str">
        <x:v>KP_COVERED_AMICABLE</x:v>
      </x:c>
      <x:c r="L157" s="13" t="str">
        <x:v>Eligible for KP screening</x:v>
      </x:c>
      <x:c r="M157" s="13" t="str">
        <x:v>Proceed to barangay conciliation / mediation screening</x:v>
      </x:c>
      <x:c r="N157" s="13" t="str">
        <x:v>Minor physical injury or altercation example; system should still screen severity, weapons, and medical findings.</x:v>
      </x:c>
      <x:c r="O157" s="13" t="str">
        <x:v>P5,300</x:v>
      </x:c>
      <x:c r="P157" s="13" t="str">
        <x:v>Panununtok</x:v>
      </x:c>
      <x:c r="Q157" s="13" t="str"/>
      <x:c r="R157" s="13" t="str">
        <x:v>KP CASE PSWT - Sheet1 - KP CASE PSWT - Sheet1.pdf</x:v>
      </x:c>
    </x:row>
    <x:row r="158" ht="36" customHeight="1">
      <x:c r="A158" s="13" t="str">
        <x:v>KP-25-075-PSWT</x:v>
      </x:c>
      <x:c r="B158" s="13" t="str">
        <x:v>physical injury</x:v>
      </x:c>
      <x:c r="C158" s="13" t="str">
        <x:v>Real PDF</x:v>
      </x:c>
      <x:c r="D158" s="13" t="str">
        <x:v>KP-25-075-PSWT</x:v>
      </x:c>
      <x:c r="E158" s="13" t="str">
        <x:v>Criminal</x:v>
      </x:c>
      <x:c r="F158" s="13" t="str">
        <x:v>Panununtok</x:v>
      </x:c>
      <x:c r="G158" s="13" t="str">
        <x:v>August 3, 2025</x:v>
      </x:c>
      <x:c r="H158" s="13" t="str">
        <x:v>August 25, 2025</x:v>
      </x:c>
      <x:c r="I158" s="13" t="str">
        <x:v>Nagkaunawaan ang dalawang panig. Humingi ng pasensya ang ipinagsumbong at nangako na hindi na mauulit. Ang usapn ay tinatapos na.</x:v>
      </x:c>
      <x:c r="J158" s="13" t="str">
        <x:v>Settled</x:v>
      </x:c>
      <x:c r="K158" s="13" t="str">
        <x:v>KP_COVERED_AMICABLE</x:v>
      </x:c>
      <x:c r="L158" s="13" t="str">
        <x:v>Eligible for KP screening</x:v>
      </x:c>
      <x:c r="M158" s="13" t="str">
        <x:v>Proceed to barangay conciliation / mediation screening</x:v>
      </x:c>
      <x:c r="N158" s="13" t="str">
        <x:v>Minor physical injury or altercation example; system should still screen severity, weapons, and medical findings.</x:v>
      </x:c>
      <x:c r="O158" s="13" t="str"/>
      <x:c r="P158" s="13" t="str">
        <x:v>Panununtok</x:v>
      </x:c>
      <x:c r="Q158" s="13" t="str"/>
      <x:c r="R158" s="13" t="str">
        <x:v>KP CASE PSWT - Sheet1 - KP CASE PSWT - Sheet1.pdf</x:v>
      </x:c>
    </x:row>
    <x:row r="159" ht="36" customHeight="1">
      <x:c r="A159" s="13" t="str">
        <x:v>KP-25-086-PSWT</x:v>
      </x:c>
      <x:c r="B159" s="13" t="str">
        <x:v>physical injury</x:v>
      </x:c>
      <x:c r="C159" s="13" t="str">
        <x:v>Real PDF</x:v>
      </x:c>
      <x:c r="D159" s="13" t="str">
        <x:v>KP-25-086-PSWT</x:v>
      </x:c>
      <x:c r="E159" s="13" t="str">
        <x:v>Criminal</x:v>
      </x:c>
      <x:c r="F159" s="13" t="str">
        <x:v>Pambabato ng bahay</x:v>
      </x:c>
      <x:c r="G159" s="13" t="str">
        <x:v>October 5, 2025</x:v>
      </x:c>
      <x:c r="H159" s="13" t="str">
        <x:v>October 9, 2025</x:v>
      </x:c>
      <x:c r="I159" s="13" t="str">
        <x:v>Nagkaroon ng pagkakasundo sa dalawang panig. Pakiusap ng maysumbong na huwag magbabanta at ang aso ng ipinagsumbong ay iwasang palabasin para hindi tumae sa harapan ng bahay. Ganoon din ang pakiusap ng ipinagsumbong na huwag maninita ng nakainom at kung may problema ay kausapin siya.</x:v>
      </x:c>
      <x:c r="J159" s="13" t="str">
        <x:v>Settled</x:v>
      </x:c>
      <x:c r="K159" s="13" t="str">
        <x:v>KP_COVERED_AMICABLE</x:v>
      </x:c>
      <x:c r="L159" s="13" t="str">
        <x:v>Eligible for KP screening</x:v>
      </x:c>
      <x:c r="M159" s="13" t="str">
        <x:v>Proceed to barangay conciliation / mediation screening</x:v>
      </x:c>
      <x:c r="N159" s="13" t="str">
        <x:v>Minor physical injury or altercation example; system should still screen severity, weapons, and medical findings.</x:v>
      </x:c>
      <x:c r="O159" s="13" t="str"/>
      <x:c r="P159" s="13" t="str">
        <x:v>Pambabato ng bahay</x:v>
      </x:c>
      <x:c r="Q159" s="13" t="str"/>
      <x:c r="R159" s="13" t="str">
        <x:v>KP CASE PSWT - Sheet1 - KP CASE PSWT - Sheet1.pdf</x:v>
      </x:c>
    </x:row>
    <x:row r="160" ht="36" customHeight="1">
      <x:c r="A160" s="13" t="str">
        <x:v>KP-25-103-PSWT</x:v>
      </x:c>
      <x:c r="B160" s="13" t="str">
        <x:v>physical injury</x:v>
      </x:c>
      <x:c r="C160" s="13" t="str">
        <x:v>Real PDF</x:v>
      </x:c>
      <x:c r="D160" s="13" t="str">
        <x:v>KP-25-103-PSWT</x:v>
      </x:c>
      <x:c r="E160" s="13" t="str">
        <x:v>Criminal</x:v>
      </x:c>
      <x:c r="F160" s="13" t="str">
        <x:v>Pagmumura at pananakit</x:v>
      </x:c>
      <x:c r="G160" s="13" t="str">
        <x:v>November 17, 2025</x:v>
      </x:c>
      <x:c r="H160" s="13" t="str">
        <x:v>November 18, 2025</x:v>
      </x:c>
      <x:c r="I160" s="13" t="str">
        <x:v>Nagkaroon ng pagkakaunawaan at nangako ang bawait isa na mag-iiwasan na lang upang hindi na maulit ang nangyari. Tinatapos na ang usapin.</x:v>
      </x:c>
      <x:c r="J160" s="13" t="str">
        <x:v>Settled</x:v>
      </x:c>
      <x:c r="K160" s="13" t="str">
        <x:v>KP_COVERED_AMICABLE</x:v>
      </x:c>
      <x:c r="L160" s="13" t="str">
        <x:v>Eligible for KP screening</x:v>
      </x:c>
      <x:c r="M160" s="13" t="str">
        <x:v>Proceed to barangay conciliation / mediation screening</x:v>
      </x:c>
      <x:c r="N160" s="13" t="str">
        <x:v>Minor physical injury or altercation example; system should still screen severity, weapons, and medical findings.</x:v>
      </x:c>
      <x:c r="O160" s="13" t="str"/>
      <x:c r="P160" s="13" t="str">
        <x:v>Pagmumura at pananakit</x:v>
      </x:c>
      <x:c r="Q160" s="13" t="str"/>
      <x:c r="R160" s="13" t="str">
        <x:v>KP CASE PSWT - Sheet1 - KP CASE PSWT - Sheet1.pdf</x:v>
      </x:c>
    </x:row>
    <x:row r="161" ht="36" customHeight="1">
      <x:c r="A161" s="13" t="str">
        <x:v>KP-25-104-PSWT</x:v>
      </x:c>
      <x:c r="B161" s="13" t="str">
        <x:v>physical injury</x:v>
      </x:c>
      <x:c r="C161" s="13" t="str">
        <x:v>Real PDF</x:v>
      </x:c>
      <x:c r="D161" s="13" t="str">
        <x:v>KP-25-104-PSWT</x:v>
      </x:c>
      <x:c r="E161" s="13" t="str">
        <x:v>Criminal</x:v>
      </x:c>
      <x:c r="F161" s="13" t="str">
        <x:v>Pang-aaway at pagmumura</x:v>
      </x:c>
      <x:c r="G161" s="13" t="str">
        <x:v>November 18, 2025</x:v>
      </x:c>
      <x:c r="H161" s="13" t="str">
        <x:v>-</x:v>
      </x:c>
      <x:c r="I161" s="13" t="str">
        <x:v>Nagkaroon ng paglilinaw kaya't ang bawat isa ay humingi ng pasensya. Sinabi ng ipinagsumbong na hihingi din siya ng pasensya sa ama ng maysumbong.</x:v>
      </x:c>
      <x:c r="J161" s="13" t="str">
        <x:v>Settled</x:v>
      </x:c>
      <x:c r="K161" s="13" t="str">
        <x:v>KP_COVERED_AMICABLE</x:v>
      </x:c>
      <x:c r="L161" s="13" t="str">
        <x:v>Eligible for KP screening</x:v>
      </x:c>
      <x:c r="M161" s="13" t="str">
        <x:v>Proceed to barangay conciliation / mediation screening</x:v>
      </x:c>
      <x:c r="N161" s="13" t="str">
        <x:v>Minor physical injury or altercation example; system should still screen severity, weapons, and medical findings.</x:v>
      </x:c>
      <x:c r="O161" s="13" t="str"/>
      <x:c r="P161" s="13" t="str">
        <x:v>Pang-aaway at pagmumura</x:v>
      </x:c>
      <x:c r="Q161" s="13" t="str"/>
      <x:c r="R161" s="13" t="str">
        <x:v>KP CASE PSWT - Sheet1 - KP CASE PSWT - Sheet1.pdf</x:v>
      </x:c>
    </x:row>
    <x:row r="162" ht="36" customHeight="1">
      <x:c r="A162" s="13" t="str">
        <x:v>KP-25-109-PSWT</x:v>
      </x:c>
      <x:c r="B162" s="13" t="str">
        <x:v>physical injury</x:v>
      </x:c>
      <x:c r="C162" s="13" t="str">
        <x:v>Real PDF</x:v>
      </x:c>
      <x:c r="D162" s="13" t="str">
        <x:v>KP-25-109-PSWT</x:v>
      </x:c>
      <x:c r="E162" s="13" t="str">
        <x:v>Criminal</x:v>
      </x:c>
      <x:c r="F162" s="13" t="str">
        <x:v>Panununtok</x:v>
      </x:c>
      <x:c r="G162" s="13" t="str">
        <x:v>December 8, 2025</x:v>
      </x:c>
      <x:c r="H162" s="13" t="str">
        <x:v>-</x:v>
      </x:c>
      <x:c r="I162" s="13" t="str">
        <x:v>Ang ipinagsumbong ay hindi dumadating sa oras ng paghaharap at hindi na din bumalik ang maysumbong.</x:v>
      </x:c>
      <x:c r="J162" s="13" t="str">
        <x:v>Dismiss</x:v>
      </x:c>
      <x:c r="K162" s="13" t="str">
        <x:v>KP_COVERED_AMICABLE</x:v>
      </x:c>
      <x:c r="L162" s="13" t="str">
        <x:v>Eligible for KP screening</x:v>
      </x:c>
      <x:c r="M162" s="13" t="str">
        <x:v>Proceed to barangay conciliation / mediation screening</x:v>
      </x:c>
      <x:c r="N162" s="13" t="str">
        <x:v>Minor physical injury or altercation example; system should still screen severity, weapons, and medical findings.</x:v>
      </x:c>
      <x:c r="O162" s="13" t="str"/>
      <x:c r="P162" s="13" t="str">
        <x:v>Panununtok</x:v>
      </x:c>
      <x:c r="Q162" s="13" t="str"/>
      <x:c r="R162" s="13" t="str">
        <x:v>KP CASE PSWT - Sheet1 - KP CASE PSWT - Sheet1.pdf</x:v>
      </x:c>
    </x:row>
    <x:row r="163" ht="36" customHeight="1">
      <x:c r="A163" s="13" t="str">
        <x:v>KP-25-114-PSWT</x:v>
      </x:c>
      <x:c r="B163" s="13" t="str">
        <x:v>physical injury</x:v>
      </x:c>
      <x:c r="C163" s="13" t="str">
        <x:v>Real PDF</x:v>
      </x:c>
      <x:c r="D163" s="13" t="str">
        <x:v>KP-25-114-PSWT</x:v>
      </x:c>
      <x:c r="E163" s="13" t="str">
        <x:v>Criminal</x:v>
      </x:c>
      <x:c r="F163" s="13" t="str">
        <x:v>Pananakit</x:v>
      </x:c>
      <x:c r="G163" s="13" t="str">
        <x:v>December 15, 2025</x:v>
      </x:c>
      <x:c r="H163" s="13" t="str">
        <x:v>-</x:v>
      </x:c>
      <x:c r="I163" s="13" t="str">
        <x:v>Nagkaroon ng pagkakaunawaan sa bawat isa. Pakiusap ng maysumbong na kapag nakita sila ng anak ng maysumbong ay huwag namang hahamunin. Ang usapin ay tinatapos na.</x:v>
      </x:c>
      <x:c r="J163" s="13" t="str">
        <x:v>Settled</x:v>
      </x:c>
      <x:c r="K163" s="13" t="str">
        <x:v>KP_COVERED_AMICABLE</x:v>
      </x:c>
      <x:c r="L163" s="13" t="str">
        <x:v>Eligible for KP screening</x:v>
      </x:c>
      <x:c r="M163" s="13" t="str">
        <x:v>Proceed to barangay conciliation / mediation screening</x:v>
      </x:c>
      <x:c r="N163" s="13" t="str">
        <x:v>Minor physical injury or altercation example; system should still screen severity, weapons, and medical findings.</x:v>
      </x:c>
      <x:c r="O163" s="13" t="str"/>
      <x:c r="P163" s="13" t="str">
        <x:v>Pananakit</x:v>
      </x:c>
      <x:c r="Q163" s="13" t="str"/>
      <x:c r="R163" s="13" t="str">
        <x:v>KP CASE PSWT - Sheet1 - KP CASE PSWT - Sheet1.pdf</x:v>
      </x:c>
    </x:row>
    <x:row r="164" ht="36" customHeight="1">
      <x:c r="A164" s="13" t="str">
        <x:v>SYN-INJ-001</x:v>
      </x:c>
      <x:c r="B164" s="13" t="str">
        <x:v>physical injury</x:v>
      </x:c>
      <x:c r="C164" s="13" t="str">
        <x:v>Synthetic</x:v>
      </x:c>
      <x:c r="D164" s="13" t="str"/>
      <x:c r="E164" s="13" t="str">
        <x:v>Criminal</x:v>
      </x:c>
      <x:c r="F164" s="13" t="str">
        <x:v>Panunulak na nagdulot ng pasa sa braso</x:v>
      </x:c>
      <x:c r="G164" s="13" t="str">
        <x:v>January 6, 2026</x:v>
      </x:c>
      <x:c r="H164" s="13" t="str">
        <x:v>-</x:v>
      </x:c>
      <x:c r="I164" s="13" t="str">
        <x:v>Synthetic example: no weapon or serious medical finding stated; system must still screen severity and immediate danger.</x:v>
      </x:c>
      <x:c r="J164" s="13" t="str">
        <x:v>For Screening</x:v>
      </x:c>
      <x:c r="K164" s="13" t="str">
        <x:v>KP_COVERED_AMICABLE</x:v>
      </x:c>
      <x:c r="L164" s="13" t="str">
        <x:v>Eligible for KP screening with severity check</x:v>
      </x:c>
      <x:c r="M164" s="13" t="str">
        <x:v>Screen severity/weapon/medical findings, then mediate only if legally eligible</x:v>
      </x:c>
      <x:c r="N164" s="13" t="str">
        <x:v>Possible minor physical injury; requires severity screening.</x:v>
      </x:c>
      <x:c r="O164" s="13" t="str"/>
      <x:c r="P164" s="13" t="str">
        <x:v>Panunulak na nagdulot ng pasa sa braso</x:v>
      </x:c>
      <x:c r="Q164" s="13" t="str">
        <x:v>Added to balance 'physical injury' to 49 examples using the same Justice KP label schema.</x:v>
      </x:c>
      <x:c r="R164" s="13" t="str">
        <x:v>Synthetic row based on category coverage gap from uploaded PDF</x:v>
      </x:c>
    </x:row>
    <x:row r="165" ht="36" customHeight="1">
      <x:c r="A165" s="13" t="str">
        <x:v>SYN-INJ-002</x:v>
      </x:c>
      <x:c r="B165" s="13" t="str">
        <x:v>physical injury</x:v>
      </x:c>
      <x:c r="C165" s="13" t="str">
        <x:v>Synthetic</x:v>
      </x:c>
      <x:c r="D165" s="13" t="str"/>
      <x:c r="E165" s="13" t="str">
        <x:v>Criminal</x:v>
      </x:c>
      <x:c r="F165" s="13" t="str">
        <x:v>Panununtok matapos ang pagtatalo sa basketball court</x:v>
      </x:c>
      <x:c r="G165" s="13" t="str">
        <x:v>January 9, 2026</x:v>
      </x:c>
      <x:c r="H165" s="13" t="str">
        <x:v>-</x:v>
      </x:c>
      <x:c r="I165" s="13" t="str">
        <x:v>Synthetic example: no weapon or serious medical finding stated; system must still screen severity and immediate danger.</x:v>
      </x:c>
      <x:c r="J165" s="13" t="str">
        <x:v>For Screening</x:v>
      </x:c>
      <x:c r="K165" s="13" t="str">
        <x:v>KP_COVERED_AMICABLE</x:v>
      </x:c>
      <x:c r="L165" s="13" t="str">
        <x:v>Eligible for KP screening with severity check</x:v>
      </x:c>
      <x:c r="M165" s="13" t="str">
        <x:v>Screen severity/weapon/medical findings, then mediate only if legally eligible</x:v>
      </x:c>
      <x:c r="N165" s="13" t="str">
        <x:v>Possible minor physical injury; requires severity screening.</x:v>
      </x:c>
      <x:c r="O165" s="13" t="str"/>
      <x:c r="P165" s="13" t="str">
        <x:v>Panununtok matapos ang pagtatalo sa basketball court</x:v>
      </x:c>
      <x:c r="Q165" s="13" t="str">
        <x:v>Added to balance 'physical injury' to 49 examples using the same Justice KP label schema.</x:v>
      </x:c>
      <x:c r="R165" s="13" t="str">
        <x:v>Synthetic row based on category coverage gap from uploaded PDF</x:v>
      </x:c>
    </x:row>
    <x:row r="166" ht="36" customHeight="1">
      <x:c r="A166" s="13" t="str">
        <x:v>SYN-INJ-003</x:v>
      </x:c>
      <x:c r="B166" s="13" t="str">
        <x:v>physical injury</x:v>
      </x:c>
      <x:c r="C166" s="13" t="str">
        <x:v>Synthetic</x:v>
      </x:c>
      <x:c r="D166" s="13" t="str"/>
      <x:c r="E166" s="13" t="str">
        <x:v>Criminal</x:v>
      </x:c>
      <x:c r="F166" s="13" t="str">
        <x:v>Pananakit sa kapitbahay habang nag-aaway sa daanan</x:v>
      </x:c>
      <x:c r="G166" s="13" t="str">
        <x:v>January 12, 2026</x:v>
      </x:c>
      <x:c r="H166" s="13" t="str">
        <x:v>-</x:v>
      </x:c>
      <x:c r="I166" s="13" t="str">
        <x:v>Synthetic example: no weapon or serious medical finding stated; system must still screen severity and immediate danger.</x:v>
      </x:c>
      <x:c r="J166" s="13" t="str">
        <x:v>For Screening</x:v>
      </x:c>
      <x:c r="K166" s="13" t="str">
        <x:v>KP_COVERED_AMICABLE</x:v>
      </x:c>
      <x:c r="L166" s="13" t="str">
        <x:v>Eligible for KP screening with severity check</x:v>
      </x:c>
      <x:c r="M166" s="13" t="str">
        <x:v>Screen severity/weapon/medical findings, then mediate only if legally eligible</x:v>
      </x:c>
      <x:c r="N166" s="13" t="str">
        <x:v>Possible minor physical injury; requires severity screening.</x:v>
      </x:c>
      <x:c r="O166" s="13" t="str"/>
      <x:c r="P166" s="13" t="str">
        <x:v>Pananakit sa kapitbahay habang nag-aaway sa daanan</x:v>
      </x:c>
      <x:c r="Q166" s="13" t="str">
        <x:v>Added to balance 'physical injury' to 49 examples using the same Justice KP label schema.</x:v>
      </x:c>
      <x:c r="R166" s="13" t="str">
        <x:v>Synthetic row based on category coverage gap from uploaded PDF</x:v>
      </x:c>
    </x:row>
    <x:row r="167" ht="36" customHeight="1">
      <x:c r="A167" s="13" t="str">
        <x:v>SYN-INJ-004</x:v>
      </x:c>
      <x:c r="B167" s="13" t="str">
        <x:v>physical injury</x:v>
      </x:c>
      <x:c r="C167" s="13" t="str">
        <x:v>Synthetic</x:v>
      </x:c>
      <x:c r="D167" s="13" t="str"/>
      <x:c r="E167" s="13" t="str">
        <x:v>Criminal</x:v>
      </x:c>
      <x:c r="F167" s="13" t="str">
        <x:v>Pambabato ng maliit na bagay na tumama sa balikat</x:v>
      </x:c>
      <x:c r="G167" s="13" t="str">
        <x:v>January 15, 2026</x:v>
      </x:c>
      <x:c r="H167" s="13" t="str">
        <x:v>-</x:v>
      </x:c>
      <x:c r="I167" s="13" t="str">
        <x:v>Synthetic example: no weapon or serious medical finding stated; system must still screen severity and immediate danger.</x:v>
      </x:c>
      <x:c r="J167" s="13" t="str">
        <x:v>For Screening</x:v>
      </x:c>
      <x:c r="K167" s="13" t="str">
        <x:v>KP_COVERED_AMICABLE</x:v>
      </x:c>
      <x:c r="L167" s="13" t="str">
        <x:v>Eligible for KP screening with severity check</x:v>
      </x:c>
      <x:c r="M167" s="13" t="str">
        <x:v>Screen severity/weapon/medical findings, then mediate only if legally eligible</x:v>
      </x:c>
      <x:c r="N167" s="13" t="str">
        <x:v>Possible minor physical injury; requires severity screening.</x:v>
      </x:c>
      <x:c r="O167" s="13" t="str"/>
      <x:c r="P167" s="13" t="str">
        <x:v>Pambabato ng maliit na bagay na tumama sa balikat</x:v>
      </x:c>
      <x:c r="Q167" s="13" t="str">
        <x:v>Added to balance 'physical injury' to 49 examples using the same Justice KP label schema.</x:v>
      </x:c>
      <x:c r="R167" s="13" t="str">
        <x:v>Synthetic row based on category coverage gap from uploaded PDF</x:v>
      </x:c>
    </x:row>
    <x:row r="168" ht="36" customHeight="1">
      <x:c r="A168" s="13" t="str">
        <x:v>SYN-INJ-005</x:v>
      </x:c>
      <x:c r="B168" s="13" t="str">
        <x:v>physical injury</x:v>
      </x:c>
      <x:c r="C168" s="13" t="str">
        <x:v>Synthetic</x:v>
      </x:c>
      <x:c r="D168" s="13" t="str"/>
      <x:c r="E168" s="13" t="str">
        <x:v>Criminal</x:v>
      </x:c>
      <x:c r="F168" s="13" t="str">
        <x:v>Pagsampal matapos ang mainitang pagtatalo</x:v>
      </x:c>
      <x:c r="G168" s="13" t="str">
        <x:v>January 18, 2026</x:v>
      </x:c>
      <x:c r="H168" s="13" t="str">
        <x:v>-</x:v>
      </x:c>
      <x:c r="I168" s="13" t="str">
        <x:v>Synthetic example: no weapon or serious medical finding stated; system must still screen severity and immediate danger.</x:v>
      </x:c>
      <x:c r="J168" s="13" t="str">
        <x:v>For Screening</x:v>
      </x:c>
      <x:c r="K168" s="13" t="str">
        <x:v>KP_COVERED_AMICABLE</x:v>
      </x:c>
      <x:c r="L168" s="13" t="str">
        <x:v>Eligible for KP screening with severity check</x:v>
      </x:c>
      <x:c r="M168" s="13" t="str">
        <x:v>Screen severity/weapon/medical findings, then mediate only if legally eligible</x:v>
      </x:c>
      <x:c r="N168" s="13" t="str">
        <x:v>Possible minor physical injury; requires severity screening.</x:v>
      </x:c>
      <x:c r="O168" s="13" t="str"/>
      <x:c r="P168" s="13" t="str">
        <x:v>Pagsampal matapos ang mainitang pagtatalo</x:v>
      </x:c>
      <x:c r="Q168" s="13" t="str">
        <x:v>Added to balance 'physical injury' to 49 examples using the same Justice KP label schema.</x:v>
      </x:c>
      <x:c r="R168" s="13" t="str">
        <x:v>Synthetic row based on category coverage gap from uploaded PDF</x:v>
      </x:c>
    </x:row>
    <x:row r="169" ht="36" customHeight="1">
      <x:c r="A169" s="13" t="str">
        <x:v>SYN-INJ-006</x:v>
      </x:c>
      <x:c r="B169" s="13" t="str">
        <x:v>physical injury</x:v>
      </x:c>
      <x:c r="C169" s="13" t="str">
        <x:v>Synthetic</x:v>
      </x:c>
      <x:c r="D169" s="13" t="str"/>
      <x:c r="E169" s="13" t="str">
        <x:v>Criminal</x:v>
      </x:c>
      <x:c r="F169" s="13" t="str">
        <x:v>Pagkakasakitan sa pila sa tindahan</x:v>
      </x:c>
      <x:c r="G169" s="13" t="str">
        <x:v>January 21, 2026</x:v>
      </x:c>
      <x:c r="H169" s="13" t="str">
        <x:v>-</x:v>
      </x:c>
      <x:c r="I169" s="13" t="str">
        <x:v>Synthetic example: no weapon or serious medical finding stated; system must still screen severity and immediate danger.</x:v>
      </x:c>
      <x:c r="J169" s="13" t="str">
        <x:v>For Screening</x:v>
      </x:c>
      <x:c r="K169" s="13" t="str">
        <x:v>KP_COVERED_AMICABLE</x:v>
      </x:c>
      <x:c r="L169" s="13" t="str">
        <x:v>Eligible for KP screening with severity check</x:v>
      </x:c>
      <x:c r="M169" s="13" t="str">
        <x:v>Screen severity/weapon/medical findings, then mediate only if legally eligible</x:v>
      </x:c>
      <x:c r="N169" s="13" t="str">
        <x:v>Possible minor physical injury; requires severity screening.</x:v>
      </x:c>
      <x:c r="O169" s="13" t="str"/>
      <x:c r="P169" s="13" t="str">
        <x:v>Pagkakasakitan sa pila sa tindahan</x:v>
      </x:c>
      <x:c r="Q169" s="13" t="str">
        <x:v>Added to balance 'physical injury' to 49 examples using the same Justice KP label schema.</x:v>
      </x:c>
      <x:c r="R169" s="13" t="str">
        <x:v>Synthetic row based on category coverage gap from uploaded PDF</x:v>
      </x:c>
    </x:row>
    <x:row r="170" ht="36" customHeight="1">
      <x:c r="A170" s="13" t="str">
        <x:v>SYN-INJ-007</x:v>
      </x:c>
      <x:c r="B170" s="13" t="str">
        <x:v>physical injury</x:v>
      </x:c>
      <x:c r="C170" s="13" t="str">
        <x:v>Synthetic</x:v>
      </x:c>
      <x:c r="D170" s="13" t="str"/>
      <x:c r="E170" s="13" t="str">
        <x:v>Criminal</x:v>
      </x:c>
      <x:c r="F170" s="13" t="str">
        <x:v>Paninipa sa binti habang nag-aaway ang magkakapitbahay</x:v>
      </x:c>
      <x:c r="G170" s="13" t="str">
        <x:v>January 24, 2026</x:v>
      </x:c>
      <x:c r="H170" s="13" t="str">
        <x:v>-</x:v>
      </x:c>
      <x:c r="I170" s="13" t="str">
        <x:v>Synthetic example: no weapon or serious medical finding stated; system must still screen severity and immediate danger.</x:v>
      </x:c>
      <x:c r="J170" s="13" t="str">
        <x:v>For Screening</x:v>
      </x:c>
      <x:c r="K170" s="13" t="str">
        <x:v>KP_COVERED_AMICABLE</x:v>
      </x:c>
      <x:c r="L170" s="13" t="str">
        <x:v>Eligible for KP screening with severity check</x:v>
      </x:c>
      <x:c r="M170" s="13" t="str">
        <x:v>Screen severity/weapon/medical findings, then mediate only if legally eligible</x:v>
      </x:c>
      <x:c r="N170" s="13" t="str">
        <x:v>Possible minor physical injury; requires severity screening.</x:v>
      </x:c>
      <x:c r="O170" s="13" t="str"/>
      <x:c r="P170" s="13" t="str">
        <x:v>Paninipa sa binti habang nag-aaway ang magkakapitbahay</x:v>
      </x:c>
      <x:c r="Q170" s="13" t="str">
        <x:v>Added to balance 'physical injury' to 49 examples using the same Justice KP label schema.</x:v>
      </x:c>
      <x:c r="R170" s="13" t="str">
        <x:v>Synthetic row based on category coverage gap from uploaded PDF</x:v>
      </x:c>
    </x:row>
    <x:row r="171" ht="36" customHeight="1">
      <x:c r="A171" s="13" t="str">
        <x:v>SYN-INJ-008</x:v>
      </x:c>
      <x:c r="B171" s="13" t="str">
        <x:v>physical injury</x:v>
      </x:c>
      <x:c r="C171" s="13" t="str">
        <x:v>Synthetic</x:v>
      </x:c>
      <x:c r="D171" s="13" t="str"/>
      <x:c r="E171" s="13" t="str">
        <x:v>Criminal</x:v>
      </x:c>
      <x:c r="F171" s="13" t="str">
        <x:v>Paghila at panunulak sa loob ng compound</x:v>
      </x:c>
      <x:c r="G171" s="13" t="str">
        <x:v>January 27, 2026</x:v>
      </x:c>
      <x:c r="H171" s="13" t="str">
        <x:v>-</x:v>
      </x:c>
      <x:c r="I171" s="13" t="str">
        <x:v>Synthetic example: no weapon or serious medical finding stated; system must still screen severity and immediate danger.</x:v>
      </x:c>
      <x:c r="J171" s="13" t="str">
        <x:v>For Screening</x:v>
      </x:c>
      <x:c r="K171" s="13" t="str">
        <x:v>KP_COVERED_AMICABLE</x:v>
      </x:c>
      <x:c r="L171" s="13" t="str">
        <x:v>Eligible for KP screening with severity check</x:v>
      </x:c>
      <x:c r="M171" s="13" t="str">
        <x:v>Screen severity/weapon/medical findings, then mediate only if legally eligible</x:v>
      </x:c>
      <x:c r="N171" s="13" t="str">
        <x:v>Possible minor physical injury; requires severity screening.</x:v>
      </x:c>
      <x:c r="O171" s="13" t="str"/>
      <x:c r="P171" s="13" t="str">
        <x:v>Paghila at panunulak sa loob ng compound</x:v>
      </x:c>
      <x:c r="Q171" s="13" t="str">
        <x:v>Added to balance 'physical injury' to 49 examples using the same Justice KP label schema.</x:v>
      </x:c>
      <x:c r="R171" s="13" t="str">
        <x:v>Synthetic row based on category coverage gap from uploaded PDF</x:v>
      </x:c>
    </x:row>
    <x:row r="172" ht="36" customHeight="1">
      <x:c r="A172" s="13" t="str">
        <x:v>SYN-INJ-009</x:v>
      </x:c>
      <x:c r="B172" s="13" t="str">
        <x:v>physical injury</x:v>
      </x:c>
      <x:c r="C172" s="13" t="str">
        <x:v>Synthetic</x:v>
      </x:c>
      <x:c r="D172" s="13" t="str"/>
      <x:c r="E172" s="13" t="str">
        <x:v>Criminal</x:v>
      </x:c>
      <x:c r="F172" s="13" t="str">
        <x:v>Pananakit sa menor de edad na dapat i-screen kung child-protection issue</x:v>
      </x:c>
      <x:c r="G172" s="13" t="str">
        <x:v>January 30, 2026</x:v>
      </x:c>
      <x:c r="H172" s="13" t="str">
        <x:v>-</x:v>
      </x:c>
      <x:c r="I172" s="13" t="str">
        <x:v>Synthetic example: no weapon or serious medical finding stated; system must still screen severity and immediate danger.</x:v>
      </x:c>
      <x:c r="J172" s="13" t="str">
        <x:v>For Screening</x:v>
      </x:c>
      <x:c r="K172" s="13" t="str">
        <x:v>KP_COVERED_AMICABLE</x:v>
      </x:c>
      <x:c r="L172" s="13" t="str">
        <x:v>Eligible for KP screening with severity check</x:v>
      </x:c>
      <x:c r="M172" s="13" t="str">
        <x:v>Screen severity/weapon/medical findings, then mediate only if legally eligible</x:v>
      </x:c>
      <x:c r="N172" s="13" t="str">
        <x:v>Possible minor physical injury; requires severity screening.</x:v>
      </x:c>
      <x:c r="O172" s="13" t="str"/>
      <x:c r="P172" s="13" t="str">
        <x:v>Pananakit sa menor de edad na dapat i-screen kung child-protection issue</x:v>
      </x:c>
      <x:c r="Q172" s="13" t="str">
        <x:v>Added to balance 'physical injury' to 49 examples using the same Justice KP label schema.</x:v>
      </x:c>
      <x:c r="R172" s="13" t="str">
        <x:v>Synthetic row based on category coverage gap from uploaded PDF</x:v>
      </x:c>
    </x:row>
    <x:row r="173" ht="36" customHeight="1">
      <x:c r="A173" s="13" t="str">
        <x:v>SYN-INJ-010</x:v>
      </x:c>
      <x:c r="B173" s="13" t="str">
        <x:v>physical injury</x:v>
      </x:c>
      <x:c r="C173" s="13" t="str">
        <x:v>Synthetic</x:v>
      </x:c>
      <x:c r="D173" s="13" t="str"/>
      <x:c r="E173" s="13" t="str">
        <x:v>Criminal</x:v>
      </x:c>
      <x:c r="F173" s="13" t="str">
        <x:v>Pambubugbog na walang sandata ngunit may reklamo sa barangay</x:v>
      </x:c>
      <x:c r="G173" s="13" t="str">
        <x:v>February 2, 2026</x:v>
      </x:c>
      <x:c r="H173" s="13" t="str">
        <x:v>-</x:v>
      </x:c>
      <x:c r="I173" s="13" t="str">
        <x:v>Synthetic example: no weapon or serious medical finding stated; system must still screen severity and immediate danger.</x:v>
      </x:c>
      <x:c r="J173" s="13" t="str">
        <x:v>For Screening</x:v>
      </x:c>
      <x:c r="K173" s="13" t="str">
        <x:v>KP_COVERED_AMICABLE</x:v>
      </x:c>
      <x:c r="L173" s="13" t="str">
        <x:v>Eligible for KP screening with severity check</x:v>
      </x:c>
      <x:c r="M173" s="13" t="str">
        <x:v>Screen severity/weapon/medical findings, then mediate only if legally eligible</x:v>
      </x:c>
      <x:c r="N173" s="13" t="str">
        <x:v>Possible minor physical injury; requires severity screening.</x:v>
      </x:c>
      <x:c r="O173" s="13" t="str"/>
      <x:c r="P173" s="13" t="str">
        <x:v>Pambubugbog na walang sandata ngunit may reklamo sa barangay</x:v>
      </x:c>
      <x:c r="Q173" s="13" t="str">
        <x:v>Added to balance 'physical injury' to 49 examples using the same Justice KP label schema.</x:v>
      </x:c>
      <x:c r="R173" s="13" t="str">
        <x:v>Synthetic row based on category coverage gap from uploaded PDF</x:v>
      </x:c>
    </x:row>
    <x:row r="174" ht="36" customHeight="1">
      <x:c r="A174" s="13" t="str">
        <x:v>SYN-INJ-011</x:v>
      </x:c>
      <x:c r="B174" s="13" t="str">
        <x:v>physical injury</x:v>
      </x:c>
      <x:c r="C174" s="13" t="str">
        <x:v>Synthetic</x:v>
      </x:c>
      <x:c r="D174" s="13" t="str"/>
      <x:c r="E174" s="13" t="str">
        <x:v>Criminal</x:v>
      </x:c>
      <x:c r="F174" s="13" t="str">
        <x:v>Panunulak na nagdulot ng pasa sa braso</x:v>
      </x:c>
      <x:c r="G174" s="13" t="str">
        <x:v>February 5, 2026</x:v>
      </x:c>
      <x:c r="H174" s="13" t="str">
        <x:v>-</x:v>
      </x:c>
      <x:c r="I174" s="13" t="str">
        <x:v>Synthetic example: no weapon or serious medical finding stated; system must still screen severity and immediate danger.</x:v>
      </x:c>
      <x:c r="J174" s="13" t="str">
        <x:v>For Screening</x:v>
      </x:c>
      <x:c r="K174" s="13" t="str">
        <x:v>KP_COVERED_AMICABLE</x:v>
      </x:c>
      <x:c r="L174" s="13" t="str">
        <x:v>Eligible for KP screening with severity check</x:v>
      </x:c>
      <x:c r="M174" s="13" t="str">
        <x:v>Screen severity/weapon/medical findings, then mediate only if legally eligible</x:v>
      </x:c>
      <x:c r="N174" s="13" t="str">
        <x:v>Possible minor physical injury; requires severity screening.</x:v>
      </x:c>
      <x:c r="O174" s="13" t="str"/>
      <x:c r="P174" s="13" t="str">
        <x:v>Panunulak na nagdulot ng pasa sa braso</x:v>
      </x:c>
      <x:c r="Q174" s="13" t="str">
        <x:v>Added to balance 'physical injury' to 49 examples using the same Justice KP label schema.</x:v>
      </x:c>
      <x:c r="R174" s="13" t="str">
        <x:v>Synthetic row based on category coverage gap from uploaded PDF</x:v>
      </x:c>
    </x:row>
    <x:row r="175" ht="36" customHeight="1">
      <x:c r="A175" s="13" t="str">
        <x:v>SYN-INJ-012</x:v>
      </x:c>
      <x:c r="B175" s="13" t="str">
        <x:v>physical injury</x:v>
      </x:c>
      <x:c r="C175" s="13" t="str">
        <x:v>Synthetic</x:v>
      </x:c>
      <x:c r="D175" s="13" t="str"/>
      <x:c r="E175" s="13" t="str">
        <x:v>Criminal</x:v>
      </x:c>
      <x:c r="F175" s="13" t="str">
        <x:v>Panununtok matapos ang pagtatalo sa basketball court</x:v>
      </x:c>
      <x:c r="G175" s="13" t="str">
        <x:v>February 8, 2026</x:v>
      </x:c>
      <x:c r="H175" s="13" t="str">
        <x:v>-</x:v>
      </x:c>
      <x:c r="I175" s="13" t="str">
        <x:v>Synthetic example: no weapon or serious medical finding stated; system must still screen severity and immediate danger.</x:v>
      </x:c>
      <x:c r="J175" s="13" t="str">
        <x:v>For Screening</x:v>
      </x:c>
      <x:c r="K175" s="13" t="str">
        <x:v>KP_COVERED_AMICABLE</x:v>
      </x:c>
      <x:c r="L175" s="13" t="str">
        <x:v>Eligible for KP screening with severity check</x:v>
      </x:c>
      <x:c r="M175" s="13" t="str">
        <x:v>Screen severity/weapon/medical findings, then mediate only if legally eligible</x:v>
      </x:c>
      <x:c r="N175" s="13" t="str">
        <x:v>Possible minor physical injury; requires severity screening.</x:v>
      </x:c>
      <x:c r="O175" s="13" t="str"/>
      <x:c r="P175" s="13" t="str">
        <x:v>Panununtok matapos ang pagtatalo sa basketball court</x:v>
      </x:c>
      <x:c r="Q175" s="13" t="str">
        <x:v>Added to balance 'physical injury' to 49 examples using the same Justice KP label schema.</x:v>
      </x:c>
      <x:c r="R175" s="13" t="str">
        <x:v>Synthetic row based on category coverage gap from uploaded PDF</x:v>
      </x:c>
    </x:row>
    <x:row r="176" ht="36" customHeight="1">
      <x:c r="A176" s="13" t="str">
        <x:v>SYN-INJ-013</x:v>
      </x:c>
      <x:c r="B176" s="13" t="str">
        <x:v>physical injury</x:v>
      </x:c>
      <x:c r="C176" s="13" t="str">
        <x:v>Synthetic</x:v>
      </x:c>
      <x:c r="D176" s="13" t="str"/>
      <x:c r="E176" s="13" t="str">
        <x:v>Criminal</x:v>
      </x:c>
      <x:c r="F176" s="13" t="str">
        <x:v>Pananakit sa kapitbahay habang nag-aaway sa daanan</x:v>
      </x:c>
      <x:c r="G176" s="13" t="str">
        <x:v>February 11, 2026</x:v>
      </x:c>
      <x:c r="H176" s="13" t="str">
        <x:v>-</x:v>
      </x:c>
      <x:c r="I176" s="13" t="str">
        <x:v>Synthetic example: no weapon or serious medical finding stated; system must still screen severity and immediate danger.</x:v>
      </x:c>
      <x:c r="J176" s="13" t="str">
        <x:v>For Screening</x:v>
      </x:c>
      <x:c r="K176" s="13" t="str">
        <x:v>KP_COVERED_AMICABLE</x:v>
      </x:c>
      <x:c r="L176" s="13" t="str">
        <x:v>Eligible for KP screening with severity check</x:v>
      </x:c>
      <x:c r="M176" s="13" t="str">
        <x:v>Screen severity/weapon/medical findings, then mediate only if legally eligible</x:v>
      </x:c>
      <x:c r="N176" s="13" t="str">
        <x:v>Possible minor physical injury; requires severity screening.</x:v>
      </x:c>
      <x:c r="O176" s="13" t="str"/>
      <x:c r="P176" s="13" t="str">
        <x:v>Pananakit sa kapitbahay habang nag-aaway sa daanan</x:v>
      </x:c>
      <x:c r="Q176" s="13" t="str">
        <x:v>Added to balance 'physical injury' to 49 examples using the same Justice KP label schema.</x:v>
      </x:c>
      <x:c r="R176" s="13" t="str">
        <x:v>Synthetic row based on category coverage gap from uploaded PDF</x:v>
      </x:c>
    </x:row>
    <x:row r="177" ht="36" customHeight="1">
      <x:c r="A177" s="13" t="str">
        <x:v>SYN-INJ-014</x:v>
      </x:c>
      <x:c r="B177" s="13" t="str">
        <x:v>physical injury</x:v>
      </x:c>
      <x:c r="C177" s="13" t="str">
        <x:v>Synthetic</x:v>
      </x:c>
      <x:c r="D177" s="13" t="str"/>
      <x:c r="E177" s="13" t="str">
        <x:v>Criminal</x:v>
      </x:c>
      <x:c r="F177" s="13" t="str">
        <x:v>Pambabato ng maliit na bagay na tumama sa balikat</x:v>
      </x:c>
      <x:c r="G177" s="13" t="str">
        <x:v>February 14, 2026</x:v>
      </x:c>
      <x:c r="H177" s="13" t="str">
        <x:v>-</x:v>
      </x:c>
      <x:c r="I177" s="13" t="str">
        <x:v>Synthetic example: no weapon or serious medical finding stated; system must still screen severity and immediate danger.</x:v>
      </x:c>
      <x:c r="J177" s="13" t="str">
        <x:v>For Screening</x:v>
      </x:c>
      <x:c r="K177" s="13" t="str">
        <x:v>KP_COVERED_AMICABLE</x:v>
      </x:c>
      <x:c r="L177" s="13" t="str">
        <x:v>Eligible for KP screening with severity check</x:v>
      </x:c>
      <x:c r="M177" s="13" t="str">
        <x:v>Screen severity/weapon/medical findings, then mediate only if legally eligible</x:v>
      </x:c>
      <x:c r="N177" s="13" t="str">
        <x:v>Possible minor physical injury; requires severity screening.</x:v>
      </x:c>
      <x:c r="O177" s="13" t="str"/>
      <x:c r="P177" s="13" t="str">
        <x:v>Pambabato ng maliit na bagay na tumama sa balikat</x:v>
      </x:c>
      <x:c r="Q177" s="13" t="str">
        <x:v>Added to balance 'physical injury' to 49 examples using the same Justice KP label schema.</x:v>
      </x:c>
      <x:c r="R177" s="13" t="str">
        <x:v>Synthetic row based on category coverage gap from uploaded PDF</x:v>
      </x:c>
    </x:row>
    <x:row r="178" ht="36" customHeight="1">
      <x:c r="A178" s="13" t="str">
        <x:v>SYN-INJ-015</x:v>
      </x:c>
      <x:c r="B178" s="13" t="str">
        <x:v>physical injury</x:v>
      </x:c>
      <x:c r="C178" s="13" t="str">
        <x:v>Synthetic</x:v>
      </x:c>
      <x:c r="D178" s="13" t="str"/>
      <x:c r="E178" s="13" t="str">
        <x:v>Criminal</x:v>
      </x:c>
      <x:c r="F178" s="13" t="str">
        <x:v>Pagsampal matapos ang mainitang pagtatalo</x:v>
      </x:c>
      <x:c r="G178" s="13" t="str">
        <x:v>February 17, 2026</x:v>
      </x:c>
      <x:c r="H178" s="13" t="str">
        <x:v>-</x:v>
      </x:c>
      <x:c r="I178" s="13" t="str">
        <x:v>Synthetic example: no weapon or serious medical finding stated; system must still screen severity and immediate danger.</x:v>
      </x:c>
      <x:c r="J178" s="13" t="str">
        <x:v>For Screening</x:v>
      </x:c>
      <x:c r="K178" s="13" t="str">
        <x:v>KP_COVERED_AMICABLE</x:v>
      </x:c>
      <x:c r="L178" s="13" t="str">
        <x:v>Eligible for KP screening with severity check</x:v>
      </x:c>
      <x:c r="M178" s="13" t="str">
        <x:v>Screen severity/weapon/medical findings, then mediate only if legally eligible</x:v>
      </x:c>
      <x:c r="N178" s="13" t="str">
        <x:v>Possible minor physical injury; requires severity screening.</x:v>
      </x:c>
      <x:c r="O178" s="13" t="str"/>
      <x:c r="P178" s="13" t="str">
        <x:v>Pagsampal matapos ang mainitang pagtatalo</x:v>
      </x:c>
      <x:c r="Q178" s="13" t="str">
        <x:v>Added to balance 'physical injury' to 49 examples using the same Justice KP label schema.</x:v>
      </x:c>
      <x:c r="R178" s="13" t="str">
        <x:v>Synthetic row based on category coverage gap from uploaded PDF</x:v>
      </x:c>
    </x:row>
    <x:row r="179" ht="36" customHeight="1">
      <x:c r="A179" s="13" t="str">
        <x:v>SYN-INJ-016</x:v>
      </x:c>
      <x:c r="B179" s="13" t="str">
        <x:v>physical injury</x:v>
      </x:c>
      <x:c r="C179" s="13" t="str">
        <x:v>Synthetic</x:v>
      </x:c>
      <x:c r="D179" s="13" t="str"/>
      <x:c r="E179" s="13" t="str">
        <x:v>Criminal</x:v>
      </x:c>
      <x:c r="F179" s="13" t="str">
        <x:v>Pagkakasakitan sa pila sa tindahan</x:v>
      </x:c>
      <x:c r="G179" s="13" t="str">
        <x:v>February 20, 2026</x:v>
      </x:c>
      <x:c r="H179" s="13" t="str">
        <x:v>-</x:v>
      </x:c>
      <x:c r="I179" s="13" t="str">
        <x:v>Synthetic example: no weapon or serious medical finding stated; system must still screen severity and immediate danger.</x:v>
      </x:c>
      <x:c r="J179" s="13" t="str">
        <x:v>For Screening</x:v>
      </x:c>
      <x:c r="K179" s="13" t="str">
        <x:v>KP_COVERED_AMICABLE</x:v>
      </x:c>
      <x:c r="L179" s="13" t="str">
        <x:v>Eligible for KP screening with severity check</x:v>
      </x:c>
      <x:c r="M179" s="13" t="str">
        <x:v>Screen severity/weapon/medical findings, then mediate only if legally eligible</x:v>
      </x:c>
      <x:c r="N179" s="13" t="str">
        <x:v>Possible minor physical injury; requires severity screening.</x:v>
      </x:c>
      <x:c r="O179" s="13" t="str"/>
      <x:c r="P179" s="13" t="str">
        <x:v>Pagkakasakitan sa pila sa tindahan</x:v>
      </x:c>
      <x:c r="Q179" s="13" t="str">
        <x:v>Added to balance 'physical injury' to 49 examples using the same Justice KP label schema.</x:v>
      </x:c>
      <x:c r="R179" s="13" t="str">
        <x:v>Synthetic row based on category coverage gap from uploaded PDF</x:v>
      </x:c>
    </x:row>
    <x:row r="180" ht="36" customHeight="1">
      <x:c r="A180" s="13" t="str">
        <x:v>SYN-INJ-017</x:v>
      </x:c>
      <x:c r="B180" s="13" t="str">
        <x:v>physical injury</x:v>
      </x:c>
      <x:c r="C180" s="13" t="str">
        <x:v>Synthetic</x:v>
      </x:c>
      <x:c r="D180" s="13" t="str"/>
      <x:c r="E180" s="13" t="str">
        <x:v>Criminal</x:v>
      </x:c>
      <x:c r="F180" s="13" t="str">
        <x:v>Paninipa sa binti habang nag-aaway ang magkakapitbahay</x:v>
      </x:c>
      <x:c r="G180" s="13" t="str">
        <x:v>February 23, 2026</x:v>
      </x:c>
      <x:c r="H180" s="13" t="str">
        <x:v>-</x:v>
      </x:c>
      <x:c r="I180" s="13" t="str">
        <x:v>Synthetic example: no weapon or serious medical finding stated; system must still screen severity and immediate danger.</x:v>
      </x:c>
      <x:c r="J180" s="13" t="str">
        <x:v>For Screening</x:v>
      </x:c>
      <x:c r="K180" s="13" t="str">
        <x:v>KP_COVERED_AMICABLE</x:v>
      </x:c>
      <x:c r="L180" s="13" t="str">
        <x:v>Eligible for KP screening with severity check</x:v>
      </x:c>
      <x:c r="M180" s="13" t="str">
        <x:v>Screen severity/weapon/medical findings, then mediate only if legally eligible</x:v>
      </x:c>
      <x:c r="N180" s="13" t="str">
        <x:v>Possible minor physical injury; requires severity screening.</x:v>
      </x:c>
      <x:c r="O180" s="13" t="str"/>
      <x:c r="P180" s="13" t="str">
        <x:v>Paninipa sa binti habang nag-aaway ang magkakapitbahay</x:v>
      </x:c>
      <x:c r="Q180" s="13" t="str">
        <x:v>Added to balance 'physical injury' to 49 examples using the same Justice KP label schema.</x:v>
      </x:c>
      <x:c r="R180" s="13" t="str">
        <x:v>Synthetic row based on category coverage gap from uploaded PDF</x:v>
      </x:c>
    </x:row>
    <x:row r="181" ht="36" customHeight="1">
      <x:c r="A181" s="13" t="str">
        <x:v>SYN-INJ-018</x:v>
      </x:c>
      <x:c r="B181" s="13" t="str">
        <x:v>physical injury</x:v>
      </x:c>
      <x:c r="C181" s="13" t="str">
        <x:v>Synthetic</x:v>
      </x:c>
      <x:c r="D181" s="13" t="str"/>
      <x:c r="E181" s="13" t="str">
        <x:v>Criminal</x:v>
      </x:c>
      <x:c r="F181" s="13" t="str">
        <x:v>Paghila at panunulak sa loob ng compound</x:v>
      </x:c>
      <x:c r="G181" s="13" t="str">
        <x:v>February 26, 2026</x:v>
      </x:c>
      <x:c r="H181" s="13" t="str">
        <x:v>-</x:v>
      </x:c>
      <x:c r="I181" s="13" t="str">
        <x:v>Synthetic example: no weapon or serious medical finding stated; system must still screen severity and immediate danger.</x:v>
      </x:c>
      <x:c r="J181" s="13" t="str">
        <x:v>For Screening</x:v>
      </x:c>
      <x:c r="K181" s="13" t="str">
        <x:v>KP_COVERED_AMICABLE</x:v>
      </x:c>
      <x:c r="L181" s="13" t="str">
        <x:v>Eligible for KP screening with severity check</x:v>
      </x:c>
      <x:c r="M181" s="13" t="str">
        <x:v>Screen severity/weapon/medical findings, then mediate only if legally eligible</x:v>
      </x:c>
      <x:c r="N181" s="13" t="str">
        <x:v>Possible minor physical injury; requires severity screening.</x:v>
      </x:c>
      <x:c r="O181" s="13" t="str"/>
      <x:c r="P181" s="13" t="str">
        <x:v>Paghila at panunulak sa loob ng compound</x:v>
      </x:c>
      <x:c r="Q181" s="13" t="str">
        <x:v>Added to balance 'physical injury' to 49 examples using the same Justice KP label schema.</x:v>
      </x:c>
      <x:c r="R181" s="13" t="str">
        <x:v>Synthetic row based on category coverage gap from uploaded PDF</x:v>
      </x:c>
    </x:row>
    <x:row r="182" ht="36" customHeight="1">
      <x:c r="A182" s="13" t="str">
        <x:v>SYN-INJ-019</x:v>
      </x:c>
      <x:c r="B182" s="13" t="str">
        <x:v>physical injury</x:v>
      </x:c>
      <x:c r="C182" s="13" t="str">
        <x:v>Synthetic</x:v>
      </x:c>
      <x:c r="D182" s="13" t="str"/>
      <x:c r="E182" s="13" t="str">
        <x:v>Criminal</x:v>
      </x:c>
      <x:c r="F182" s="13" t="str">
        <x:v>Pananakit sa menor de edad na dapat i-screen kung child-protection issue</x:v>
      </x:c>
      <x:c r="G182" s="13" t="str">
        <x:v>March 1, 2026</x:v>
      </x:c>
      <x:c r="H182" s="13" t="str">
        <x:v>-</x:v>
      </x:c>
      <x:c r="I182" s="13" t="str">
        <x:v>Synthetic example: no weapon or serious medical finding stated; system must still screen severity and immediate danger.</x:v>
      </x:c>
      <x:c r="J182" s="13" t="str">
        <x:v>For Screening</x:v>
      </x:c>
      <x:c r="K182" s="13" t="str">
        <x:v>KP_COVERED_AMICABLE</x:v>
      </x:c>
      <x:c r="L182" s="13" t="str">
        <x:v>Eligible for KP screening with severity check</x:v>
      </x:c>
      <x:c r="M182" s="13" t="str">
        <x:v>Screen severity/weapon/medical findings, then mediate only if legally eligible</x:v>
      </x:c>
      <x:c r="N182" s="13" t="str">
        <x:v>Possible minor physical injury; requires severity screening.</x:v>
      </x:c>
      <x:c r="O182" s="13" t="str"/>
      <x:c r="P182" s="13" t="str">
        <x:v>Pananakit sa menor de edad na dapat i-screen kung child-protection issue</x:v>
      </x:c>
      <x:c r="Q182" s="13" t="str">
        <x:v>Added to balance 'physical injury' to 49 examples using the same Justice KP label schema.</x:v>
      </x:c>
      <x:c r="R182" s="13" t="str">
        <x:v>Synthetic row based on category coverage gap from uploaded PDF</x:v>
      </x:c>
    </x:row>
    <x:row r="183" ht="36" customHeight="1">
      <x:c r="A183" s="13" t="str">
        <x:v>SYN-INJ-020</x:v>
      </x:c>
      <x:c r="B183" s="13" t="str">
        <x:v>physical injury</x:v>
      </x:c>
      <x:c r="C183" s="13" t="str">
        <x:v>Synthetic</x:v>
      </x:c>
      <x:c r="D183" s="13" t="str"/>
      <x:c r="E183" s="13" t="str">
        <x:v>Criminal</x:v>
      </x:c>
      <x:c r="F183" s="13" t="str">
        <x:v>Pambubugbog na walang sandata ngunit may reklamo sa barangay</x:v>
      </x:c>
      <x:c r="G183" s="13" t="str">
        <x:v>March 4, 2026</x:v>
      </x:c>
      <x:c r="H183" s="13" t="str">
        <x:v>-</x:v>
      </x:c>
      <x:c r="I183" s="13" t="str">
        <x:v>Synthetic example: no weapon or serious medical finding stated; system must still screen severity and immediate danger.</x:v>
      </x:c>
      <x:c r="J183" s="13" t="str">
        <x:v>For Screening</x:v>
      </x:c>
      <x:c r="K183" s="13" t="str">
        <x:v>KP_COVERED_AMICABLE</x:v>
      </x:c>
      <x:c r="L183" s="13" t="str">
        <x:v>Eligible for KP screening with severity check</x:v>
      </x:c>
      <x:c r="M183" s="13" t="str">
        <x:v>Screen severity/weapon/medical findings, then mediate only if legally eligible</x:v>
      </x:c>
      <x:c r="N183" s="13" t="str">
        <x:v>Possible minor physical injury; requires severity screening.</x:v>
      </x:c>
      <x:c r="O183" s="13" t="str"/>
      <x:c r="P183" s="13" t="str">
        <x:v>Pambubugbog na walang sandata ngunit may reklamo sa barangay</x:v>
      </x:c>
      <x:c r="Q183" s="13" t="str">
        <x:v>Added to balance 'physical injury' to 49 examples using the same Justice KP label schema.</x:v>
      </x:c>
      <x:c r="R183" s="13" t="str">
        <x:v>Synthetic row based on category coverage gap from uploaded PDF</x:v>
      </x:c>
    </x:row>
    <x:row r="184" ht="36" customHeight="1">
      <x:c r="A184" s="13" t="str">
        <x:v>SYN-INJ-021</x:v>
      </x:c>
      <x:c r="B184" s="13" t="str">
        <x:v>physical injury</x:v>
      </x:c>
      <x:c r="C184" s="13" t="str">
        <x:v>Synthetic</x:v>
      </x:c>
      <x:c r="D184" s="13" t="str"/>
      <x:c r="E184" s="13" t="str">
        <x:v>Criminal</x:v>
      </x:c>
      <x:c r="F184" s="13" t="str">
        <x:v>Panunulak na nagdulot ng pasa sa braso</x:v>
      </x:c>
      <x:c r="G184" s="13" t="str">
        <x:v>March 7, 2026</x:v>
      </x:c>
      <x:c r="H184" s="13" t="str">
        <x:v>-</x:v>
      </x:c>
      <x:c r="I184" s="13" t="str">
        <x:v>Synthetic example: no weapon or serious medical finding stated; system must still screen severity and immediate danger.</x:v>
      </x:c>
      <x:c r="J184" s="13" t="str">
        <x:v>For Screening</x:v>
      </x:c>
      <x:c r="K184" s="13" t="str">
        <x:v>KP_COVERED_AMICABLE</x:v>
      </x:c>
      <x:c r="L184" s="13" t="str">
        <x:v>Eligible for KP screening with severity check</x:v>
      </x:c>
      <x:c r="M184" s="13" t="str">
        <x:v>Screen severity/weapon/medical findings, then mediate only if legally eligible</x:v>
      </x:c>
      <x:c r="N184" s="13" t="str">
        <x:v>Possible minor physical injury; requires severity screening.</x:v>
      </x:c>
      <x:c r="O184" s="13" t="str"/>
      <x:c r="P184" s="13" t="str">
        <x:v>Panunulak na nagdulot ng pasa sa braso</x:v>
      </x:c>
      <x:c r="Q184" s="13" t="str">
        <x:v>Added to balance 'physical injury' to 49 examples using the same Justice KP label schema.</x:v>
      </x:c>
      <x:c r="R184" s="13" t="str">
        <x:v>Synthetic row based on category coverage gap from uploaded PDF</x:v>
      </x:c>
    </x:row>
    <x:row r="185" ht="36" customHeight="1">
      <x:c r="A185" s="13" t="str">
        <x:v>SYN-INJ-022</x:v>
      </x:c>
      <x:c r="B185" s="13" t="str">
        <x:v>physical injury</x:v>
      </x:c>
      <x:c r="C185" s="13" t="str">
        <x:v>Synthetic</x:v>
      </x:c>
      <x:c r="D185" s="13" t="str"/>
      <x:c r="E185" s="13" t="str">
        <x:v>Criminal</x:v>
      </x:c>
      <x:c r="F185" s="13" t="str">
        <x:v>Panununtok matapos ang pagtatalo sa basketball court</x:v>
      </x:c>
      <x:c r="G185" s="13" t="str">
        <x:v>March 10, 2026</x:v>
      </x:c>
      <x:c r="H185" s="13" t="str">
        <x:v>-</x:v>
      </x:c>
      <x:c r="I185" s="13" t="str">
        <x:v>Synthetic example: no weapon or serious medical finding stated; system must still screen severity and immediate danger.</x:v>
      </x:c>
      <x:c r="J185" s="13" t="str">
        <x:v>For Screening</x:v>
      </x:c>
      <x:c r="K185" s="13" t="str">
        <x:v>KP_COVERED_AMICABLE</x:v>
      </x:c>
      <x:c r="L185" s="13" t="str">
        <x:v>Eligible for KP screening with severity check</x:v>
      </x:c>
      <x:c r="M185" s="13" t="str">
        <x:v>Screen severity/weapon/medical findings, then mediate only if legally eligible</x:v>
      </x:c>
      <x:c r="N185" s="13" t="str">
        <x:v>Possible minor physical injury; requires severity screening.</x:v>
      </x:c>
      <x:c r="O185" s="13" t="str"/>
      <x:c r="P185" s="13" t="str">
        <x:v>Panununtok matapos ang pagtatalo sa basketball court</x:v>
      </x:c>
      <x:c r="Q185" s="13" t="str">
        <x:v>Added to balance 'physical injury' to 49 examples using the same Justice KP label schema.</x:v>
      </x:c>
      <x:c r="R185" s="13" t="str">
        <x:v>Synthetic row based on category coverage gap from uploaded PDF</x:v>
      </x:c>
    </x:row>
    <x:row r="186" ht="36" customHeight="1">
      <x:c r="A186" s="13" t="str">
        <x:v>SYN-INJ-023</x:v>
      </x:c>
      <x:c r="B186" s="13" t="str">
        <x:v>physical injury</x:v>
      </x:c>
      <x:c r="C186" s="13" t="str">
        <x:v>Synthetic</x:v>
      </x:c>
      <x:c r="D186" s="13" t="str"/>
      <x:c r="E186" s="13" t="str">
        <x:v>Criminal</x:v>
      </x:c>
      <x:c r="F186" s="13" t="str">
        <x:v>Pananakit sa kapitbahay habang nag-aaway sa daanan</x:v>
      </x:c>
      <x:c r="G186" s="13" t="str">
        <x:v>March 13, 2026</x:v>
      </x:c>
      <x:c r="H186" s="13" t="str">
        <x:v>-</x:v>
      </x:c>
      <x:c r="I186" s="13" t="str">
        <x:v>Synthetic example: no weapon or serious medical finding stated; system must still screen severity and immediate danger.</x:v>
      </x:c>
      <x:c r="J186" s="13" t="str">
        <x:v>For Screening</x:v>
      </x:c>
      <x:c r="K186" s="13" t="str">
        <x:v>KP_COVERED_AMICABLE</x:v>
      </x:c>
      <x:c r="L186" s="13" t="str">
        <x:v>Eligible for KP screening with severity check</x:v>
      </x:c>
      <x:c r="M186" s="13" t="str">
        <x:v>Screen severity/weapon/medical findings, then mediate only if legally eligible</x:v>
      </x:c>
      <x:c r="N186" s="13" t="str">
        <x:v>Possible minor physical injury; requires severity screening.</x:v>
      </x:c>
      <x:c r="O186" s="13" t="str"/>
      <x:c r="P186" s="13" t="str">
        <x:v>Pananakit sa kapitbahay habang nag-aaway sa daanan</x:v>
      </x:c>
      <x:c r="Q186" s="13" t="str">
        <x:v>Added to balance 'physical injury' to 49 examples using the same Justice KP label schema.</x:v>
      </x:c>
      <x:c r="R186" s="13" t="str">
        <x:v>Synthetic row based on category coverage gap from uploaded PDF</x:v>
      </x:c>
    </x:row>
    <x:row r="187" ht="36" customHeight="1">
      <x:c r="A187" s="13" t="str">
        <x:v>SYN-INJ-024</x:v>
      </x:c>
      <x:c r="B187" s="13" t="str">
        <x:v>physical injury</x:v>
      </x:c>
      <x:c r="C187" s="13" t="str">
        <x:v>Synthetic</x:v>
      </x:c>
      <x:c r="D187" s="13" t="str"/>
      <x:c r="E187" s="13" t="str">
        <x:v>Criminal</x:v>
      </x:c>
      <x:c r="F187" s="13" t="str">
        <x:v>Pambabato ng maliit na bagay na tumama sa balikat</x:v>
      </x:c>
      <x:c r="G187" s="13" t="str">
        <x:v>March 16, 2026</x:v>
      </x:c>
      <x:c r="H187" s="13" t="str">
        <x:v>-</x:v>
      </x:c>
      <x:c r="I187" s="13" t="str">
        <x:v>Synthetic example: no weapon or serious medical finding stated; system must still screen severity and immediate danger.</x:v>
      </x:c>
      <x:c r="J187" s="13" t="str">
        <x:v>For Screening</x:v>
      </x:c>
      <x:c r="K187" s="13" t="str">
        <x:v>KP_COVERED_AMICABLE</x:v>
      </x:c>
      <x:c r="L187" s="13" t="str">
        <x:v>Eligible for KP screening with severity check</x:v>
      </x:c>
      <x:c r="M187" s="13" t="str">
        <x:v>Screen severity/weapon/medical findings, then mediate only if legally eligible</x:v>
      </x:c>
      <x:c r="N187" s="13" t="str">
        <x:v>Possible minor physical injury; requires severity screening.</x:v>
      </x:c>
      <x:c r="O187" s="13" t="str"/>
      <x:c r="P187" s="13" t="str">
        <x:v>Pambabato ng maliit na bagay na tumama sa balikat</x:v>
      </x:c>
      <x:c r="Q187" s="13" t="str">
        <x:v>Added to balance 'physical injury' to 49 examples using the same Justice KP label schema.</x:v>
      </x:c>
      <x:c r="R187" s="13" t="str">
        <x:v>Synthetic row based on category coverage gap from uploaded PDF</x:v>
      </x:c>
    </x:row>
    <x:row r="188" ht="36" customHeight="1">
      <x:c r="A188" s="13" t="str">
        <x:v>SYN-INJ-025</x:v>
      </x:c>
      <x:c r="B188" s="13" t="str">
        <x:v>physical injury</x:v>
      </x:c>
      <x:c r="C188" s="13" t="str">
        <x:v>Synthetic</x:v>
      </x:c>
      <x:c r="D188" s="13" t="str"/>
      <x:c r="E188" s="13" t="str">
        <x:v>Criminal</x:v>
      </x:c>
      <x:c r="F188" s="13" t="str">
        <x:v>Pagsampal matapos ang mainitang pagtatalo</x:v>
      </x:c>
      <x:c r="G188" s="13" t="str">
        <x:v>March 19, 2026</x:v>
      </x:c>
      <x:c r="H188" s="13" t="str">
        <x:v>-</x:v>
      </x:c>
      <x:c r="I188" s="13" t="str">
        <x:v>Synthetic example: no weapon or serious medical finding stated; system must still screen severity and immediate danger.</x:v>
      </x:c>
      <x:c r="J188" s="13" t="str">
        <x:v>For Screening</x:v>
      </x:c>
      <x:c r="K188" s="13" t="str">
        <x:v>KP_COVERED_AMICABLE</x:v>
      </x:c>
      <x:c r="L188" s="13" t="str">
        <x:v>Eligible for KP screening with severity check</x:v>
      </x:c>
      <x:c r="M188" s="13" t="str">
        <x:v>Screen severity/weapon/medical findings, then mediate only if legally eligible</x:v>
      </x:c>
      <x:c r="N188" s="13" t="str">
        <x:v>Possible minor physical injury; requires severity screening.</x:v>
      </x:c>
      <x:c r="O188" s="13" t="str"/>
      <x:c r="P188" s="13" t="str">
        <x:v>Pagsampal matapos ang mainitang pagtatalo</x:v>
      </x:c>
      <x:c r="Q188" s="13" t="str">
        <x:v>Added to balance 'physical injury' to 49 examples using the same Justice KP label schema.</x:v>
      </x:c>
      <x:c r="R188" s="13" t="str">
        <x:v>Synthetic row based on category coverage gap from uploaded PDF</x:v>
      </x:c>
    </x:row>
    <x:row r="189" ht="36" customHeight="1">
      <x:c r="A189" s="13" t="str">
        <x:v>SYN-INJ-026</x:v>
      </x:c>
      <x:c r="B189" s="13" t="str">
        <x:v>physical injury</x:v>
      </x:c>
      <x:c r="C189" s="13" t="str">
        <x:v>Synthetic</x:v>
      </x:c>
      <x:c r="D189" s="13" t="str"/>
      <x:c r="E189" s="13" t="str">
        <x:v>Criminal</x:v>
      </x:c>
      <x:c r="F189" s="13" t="str">
        <x:v>Pagkakasakitan sa pila sa tindahan</x:v>
      </x:c>
      <x:c r="G189" s="13" t="str">
        <x:v>March 22, 2026</x:v>
      </x:c>
      <x:c r="H189" s="13" t="str">
        <x:v>-</x:v>
      </x:c>
      <x:c r="I189" s="13" t="str">
        <x:v>Synthetic example: no weapon or serious medical finding stated; system must still screen severity and immediate danger.</x:v>
      </x:c>
      <x:c r="J189" s="13" t="str">
        <x:v>For Screening</x:v>
      </x:c>
      <x:c r="K189" s="13" t="str">
        <x:v>KP_COVERED_AMICABLE</x:v>
      </x:c>
      <x:c r="L189" s="13" t="str">
        <x:v>Eligible for KP screening with severity check</x:v>
      </x:c>
      <x:c r="M189" s="13" t="str">
        <x:v>Screen severity/weapon/medical findings, then mediate only if legally eligible</x:v>
      </x:c>
      <x:c r="N189" s="13" t="str">
        <x:v>Possible minor physical injury; requires severity screening.</x:v>
      </x:c>
      <x:c r="O189" s="13" t="str"/>
      <x:c r="P189" s="13" t="str">
        <x:v>Pagkakasakitan sa pila sa tindahan</x:v>
      </x:c>
      <x:c r="Q189" s="13" t="str">
        <x:v>Added to balance 'physical injury' to 49 examples using the same Justice KP label schema.</x:v>
      </x:c>
      <x:c r="R189" s="13" t="str">
        <x:v>Synthetic row based on category coverage gap from uploaded PDF</x:v>
      </x:c>
    </x:row>
    <x:row r="190" ht="36" customHeight="1">
      <x:c r="A190" s="13" t="str">
        <x:v>SYN-INJ-027</x:v>
      </x:c>
      <x:c r="B190" s="13" t="str">
        <x:v>physical injury</x:v>
      </x:c>
      <x:c r="C190" s="13" t="str">
        <x:v>Synthetic</x:v>
      </x:c>
      <x:c r="D190" s="13" t="str"/>
      <x:c r="E190" s="13" t="str">
        <x:v>Criminal</x:v>
      </x:c>
      <x:c r="F190" s="13" t="str">
        <x:v>Paninipa sa binti habang nag-aaway ang magkakapitbahay</x:v>
      </x:c>
      <x:c r="G190" s="13" t="str">
        <x:v>March 25, 2026</x:v>
      </x:c>
      <x:c r="H190" s="13" t="str">
        <x:v>-</x:v>
      </x:c>
      <x:c r="I190" s="13" t="str">
        <x:v>Synthetic example: no weapon or serious medical finding stated; system must still screen severity and immediate danger.</x:v>
      </x:c>
      <x:c r="J190" s="13" t="str">
        <x:v>For Screening</x:v>
      </x:c>
      <x:c r="K190" s="13" t="str">
        <x:v>KP_COVERED_AMICABLE</x:v>
      </x:c>
      <x:c r="L190" s="13" t="str">
        <x:v>Eligible for KP screening with severity check</x:v>
      </x:c>
      <x:c r="M190" s="13" t="str">
        <x:v>Screen severity/weapon/medical findings, then mediate only if legally eligible</x:v>
      </x:c>
      <x:c r="N190" s="13" t="str">
        <x:v>Possible minor physical injury; requires severity screening.</x:v>
      </x:c>
      <x:c r="O190" s="13" t="str"/>
      <x:c r="P190" s="13" t="str">
        <x:v>Paninipa sa binti habang nag-aaway ang magkakapitbahay</x:v>
      </x:c>
      <x:c r="Q190" s="13" t="str">
        <x:v>Added to balance 'physical injury' to 49 examples using the same Justice KP label schema.</x:v>
      </x:c>
      <x:c r="R190" s="13" t="str">
        <x:v>Synthetic row based on category coverage gap from uploaded PDF</x:v>
      </x:c>
    </x:row>
    <x:row r="191" ht="36" customHeight="1">
      <x:c r="A191" s="13" t="str">
        <x:v>SYN-INJ-028</x:v>
      </x:c>
      <x:c r="B191" s="13" t="str">
        <x:v>physical injury</x:v>
      </x:c>
      <x:c r="C191" s="13" t="str">
        <x:v>Synthetic</x:v>
      </x:c>
      <x:c r="D191" s="13" t="str"/>
      <x:c r="E191" s="13" t="str">
        <x:v>Criminal</x:v>
      </x:c>
      <x:c r="F191" s="13" t="str">
        <x:v>Paghila at panunulak sa loob ng compound</x:v>
      </x:c>
      <x:c r="G191" s="13" t="str">
        <x:v>March 28, 2026</x:v>
      </x:c>
      <x:c r="H191" s="13" t="str">
        <x:v>-</x:v>
      </x:c>
      <x:c r="I191" s="13" t="str">
        <x:v>Synthetic example: no weapon or serious medical finding stated; system must still screen severity and immediate danger.</x:v>
      </x:c>
      <x:c r="J191" s="13" t="str">
        <x:v>For Screening</x:v>
      </x:c>
      <x:c r="K191" s="13" t="str">
        <x:v>KP_COVERED_AMICABLE</x:v>
      </x:c>
      <x:c r="L191" s="13" t="str">
        <x:v>Eligible for KP screening with severity check</x:v>
      </x:c>
      <x:c r="M191" s="13" t="str">
        <x:v>Screen severity/weapon/medical findings, then mediate only if legally eligible</x:v>
      </x:c>
      <x:c r="N191" s="13" t="str">
        <x:v>Possible minor physical injury; requires severity screening.</x:v>
      </x:c>
      <x:c r="O191" s="13" t="str"/>
      <x:c r="P191" s="13" t="str">
        <x:v>Paghila at panunulak sa loob ng compound</x:v>
      </x:c>
      <x:c r="Q191" s="13" t="str">
        <x:v>Added to balance 'physical injury' to 49 examples using the same Justice KP label schema.</x:v>
      </x:c>
      <x:c r="R191" s="13" t="str">
        <x:v>Synthetic row based on category coverage gap from uploaded PDF</x:v>
      </x:c>
    </x:row>
    <x:row r="192" ht="36" customHeight="1">
      <x:c r="A192" s="13" t="str">
        <x:v>SYN-INJ-029</x:v>
      </x:c>
      <x:c r="B192" s="13" t="str">
        <x:v>physical injury</x:v>
      </x:c>
      <x:c r="C192" s="13" t="str">
        <x:v>Synthetic</x:v>
      </x:c>
      <x:c r="D192" s="13" t="str"/>
      <x:c r="E192" s="13" t="str">
        <x:v>Criminal</x:v>
      </x:c>
      <x:c r="F192" s="13" t="str">
        <x:v>Pananakit sa menor de edad na dapat i-screen kung child-protection issue</x:v>
      </x:c>
      <x:c r="G192" s="13" t="str">
        <x:v>March 31, 2026</x:v>
      </x:c>
      <x:c r="H192" s="13" t="str">
        <x:v>-</x:v>
      </x:c>
      <x:c r="I192" s="13" t="str">
        <x:v>Synthetic example: no weapon or serious medical finding stated; system must still screen severity and immediate danger.</x:v>
      </x:c>
      <x:c r="J192" s="13" t="str">
        <x:v>For Screening</x:v>
      </x:c>
      <x:c r="K192" s="13" t="str">
        <x:v>KP_COVERED_AMICABLE</x:v>
      </x:c>
      <x:c r="L192" s="13" t="str">
        <x:v>Eligible for KP screening with severity check</x:v>
      </x:c>
      <x:c r="M192" s="13" t="str">
        <x:v>Screen severity/weapon/medical findings, then mediate only if legally eligible</x:v>
      </x:c>
      <x:c r="N192" s="13" t="str">
        <x:v>Possible minor physical injury; requires severity screening.</x:v>
      </x:c>
      <x:c r="O192" s="13" t="str"/>
      <x:c r="P192" s="13" t="str">
        <x:v>Pananakit sa menor de edad na dapat i-screen kung child-protection issue</x:v>
      </x:c>
      <x:c r="Q192" s="13" t="str">
        <x:v>Added to balance 'physical injury' to 49 examples using the same Justice KP label schema.</x:v>
      </x:c>
      <x:c r="R192" s="13" t="str">
        <x:v>Synthetic row based on category coverage gap from uploaded PDF</x:v>
      </x:c>
    </x:row>
    <x:row r="193" ht="36" customHeight="1">
      <x:c r="A193" s="13" t="str">
        <x:v>SYN-INJ-030</x:v>
      </x:c>
      <x:c r="B193" s="13" t="str">
        <x:v>physical injury</x:v>
      </x:c>
      <x:c r="C193" s="13" t="str">
        <x:v>Synthetic</x:v>
      </x:c>
      <x:c r="D193" s="13" t="str"/>
      <x:c r="E193" s="13" t="str">
        <x:v>Criminal</x:v>
      </x:c>
      <x:c r="F193" s="13" t="str">
        <x:v>Pambubugbog na walang sandata ngunit may reklamo sa barangay</x:v>
      </x:c>
      <x:c r="G193" s="13" t="str">
        <x:v>April 3, 2026</x:v>
      </x:c>
      <x:c r="H193" s="13" t="str">
        <x:v>-</x:v>
      </x:c>
      <x:c r="I193" s="13" t="str">
        <x:v>Synthetic example: no weapon or serious medical finding stated; system must still screen severity and immediate danger.</x:v>
      </x:c>
      <x:c r="J193" s="13" t="str">
        <x:v>For Screening</x:v>
      </x:c>
      <x:c r="K193" s="13" t="str">
        <x:v>KP_COVERED_AMICABLE</x:v>
      </x:c>
      <x:c r="L193" s="13" t="str">
        <x:v>Eligible for KP screening with severity check</x:v>
      </x:c>
      <x:c r="M193" s="13" t="str">
        <x:v>Screen severity/weapon/medical findings, then mediate only if legally eligible</x:v>
      </x:c>
      <x:c r="N193" s="13" t="str">
        <x:v>Possible minor physical injury; requires severity screening.</x:v>
      </x:c>
      <x:c r="O193" s="13" t="str"/>
      <x:c r="P193" s="13" t="str">
        <x:v>Pambubugbog na walang sandata ngunit may reklamo sa barangay</x:v>
      </x:c>
      <x:c r="Q193" s="13" t="str">
        <x:v>Added to balance 'physical injury' to 49 examples using the same Justice KP label schema.</x:v>
      </x:c>
      <x:c r="R193" s="13" t="str">
        <x:v>Synthetic row based on category coverage gap from uploaded PDF</x:v>
      </x:c>
    </x:row>
    <x:row r="194" ht="36" customHeight="1">
      <x:c r="A194" s="13" t="str">
        <x:v>SYN-INJ-031</x:v>
      </x:c>
      <x:c r="B194" s="13" t="str">
        <x:v>physical injury</x:v>
      </x:c>
      <x:c r="C194" s="13" t="str">
        <x:v>Synthetic</x:v>
      </x:c>
      <x:c r="D194" s="13" t="str"/>
      <x:c r="E194" s="13" t="str">
        <x:v>Criminal</x:v>
      </x:c>
      <x:c r="F194" s="13" t="str">
        <x:v>Panunulak na nagdulot ng pasa sa braso</x:v>
      </x:c>
      <x:c r="G194" s="13" t="str">
        <x:v>April 6, 2026</x:v>
      </x:c>
      <x:c r="H194" s="13" t="str">
        <x:v>-</x:v>
      </x:c>
      <x:c r="I194" s="13" t="str">
        <x:v>Synthetic example: no weapon or serious medical finding stated; system must still screen severity and immediate danger.</x:v>
      </x:c>
      <x:c r="J194" s="13" t="str">
        <x:v>For Screening</x:v>
      </x:c>
      <x:c r="K194" s="13" t="str">
        <x:v>KP_COVERED_AMICABLE</x:v>
      </x:c>
      <x:c r="L194" s="13" t="str">
        <x:v>Eligible for KP screening with severity check</x:v>
      </x:c>
      <x:c r="M194" s="13" t="str">
        <x:v>Screen severity/weapon/medical findings, then mediate only if legally eligible</x:v>
      </x:c>
      <x:c r="N194" s="13" t="str">
        <x:v>Possible minor physical injury; requires severity screening.</x:v>
      </x:c>
      <x:c r="O194" s="13" t="str"/>
      <x:c r="P194" s="13" t="str">
        <x:v>Panunulak na nagdulot ng pasa sa braso</x:v>
      </x:c>
      <x:c r="Q194" s="13" t="str">
        <x:v>Added to balance 'physical injury' to 49 examples using the same Justice KP label schema.</x:v>
      </x:c>
      <x:c r="R194" s="13" t="str">
        <x:v>Synthetic row based on category coverage gap from uploaded PDF</x:v>
      </x:c>
    </x:row>
    <x:row r="195" ht="36" customHeight="1">
      <x:c r="A195" s="13" t="str">
        <x:v>SYN-INJ-032</x:v>
      </x:c>
      <x:c r="B195" s="13" t="str">
        <x:v>physical injury</x:v>
      </x:c>
      <x:c r="C195" s="13" t="str">
        <x:v>Synthetic</x:v>
      </x:c>
      <x:c r="D195" s="13" t="str"/>
      <x:c r="E195" s="13" t="str">
        <x:v>Criminal</x:v>
      </x:c>
      <x:c r="F195" s="13" t="str">
        <x:v>Panununtok matapos ang pagtatalo sa basketball court</x:v>
      </x:c>
      <x:c r="G195" s="13" t="str">
        <x:v>April 9, 2026</x:v>
      </x:c>
      <x:c r="H195" s="13" t="str">
        <x:v>-</x:v>
      </x:c>
      <x:c r="I195" s="13" t="str">
        <x:v>Synthetic example: no weapon or serious medical finding stated; system must still screen severity and immediate danger.</x:v>
      </x:c>
      <x:c r="J195" s="13" t="str">
        <x:v>For Screening</x:v>
      </x:c>
      <x:c r="K195" s="13" t="str">
        <x:v>KP_COVERED_AMICABLE</x:v>
      </x:c>
      <x:c r="L195" s="13" t="str">
        <x:v>Eligible for KP screening with severity check</x:v>
      </x:c>
      <x:c r="M195" s="13" t="str">
        <x:v>Screen severity/weapon/medical findings, then mediate only if legally eligible</x:v>
      </x:c>
      <x:c r="N195" s="13" t="str">
        <x:v>Possible minor physical injury; requires severity screening.</x:v>
      </x:c>
      <x:c r="O195" s="13" t="str"/>
      <x:c r="P195" s="13" t="str">
        <x:v>Panununtok matapos ang pagtatalo sa basketball court</x:v>
      </x:c>
      <x:c r="Q195" s="13" t="str">
        <x:v>Added to balance 'physical injury' to 49 examples using the same Justice KP label schema.</x:v>
      </x:c>
      <x:c r="R195" s="13" t="str">
        <x:v>Synthetic row based on category coverage gap from uploaded PDF</x:v>
      </x:c>
    </x:row>
    <x:row r="196" ht="36" customHeight="1">
      <x:c r="A196" s="13" t="str">
        <x:v>SYN-INJ-033</x:v>
      </x:c>
      <x:c r="B196" s="13" t="str">
        <x:v>physical injury</x:v>
      </x:c>
      <x:c r="C196" s="13" t="str">
        <x:v>Synthetic</x:v>
      </x:c>
      <x:c r="D196" s="13" t="str"/>
      <x:c r="E196" s="13" t="str">
        <x:v>Criminal</x:v>
      </x:c>
      <x:c r="F196" s="13" t="str">
        <x:v>Pananakit sa kapitbahay habang nag-aaway sa daanan</x:v>
      </x:c>
      <x:c r="G196" s="13" t="str">
        <x:v>April 12, 2026</x:v>
      </x:c>
      <x:c r="H196" s="13" t="str">
        <x:v>-</x:v>
      </x:c>
      <x:c r="I196" s="13" t="str">
        <x:v>Synthetic example: no weapon or serious medical finding stated; system must still screen severity and immediate danger.</x:v>
      </x:c>
      <x:c r="J196" s="13" t="str">
        <x:v>For Screening</x:v>
      </x:c>
      <x:c r="K196" s="13" t="str">
        <x:v>KP_COVERED_AMICABLE</x:v>
      </x:c>
      <x:c r="L196" s="13" t="str">
        <x:v>Eligible for KP screening with severity check</x:v>
      </x:c>
      <x:c r="M196" s="13" t="str">
        <x:v>Screen severity/weapon/medical findings, then mediate only if legally eligible</x:v>
      </x:c>
      <x:c r="N196" s="13" t="str">
        <x:v>Possible minor physical injury; requires severity screening.</x:v>
      </x:c>
      <x:c r="O196" s="13" t="str"/>
      <x:c r="P196" s="13" t="str">
        <x:v>Pananakit sa kapitbahay habang nag-aaway sa daanan</x:v>
      </x:c>
      <x:c r="Q196" s="13" t="str">
        <x:v>Added to balance 'physical injury' to 49 examples using the same Justice KP label schema.</x:v>
      </x:c>
      <x:c r="R196" s="13" t="str">
        <x:v>Synthetic row based on category coverage gap from uploaded PDF</x:v>
      </x:c>
    </x:row>
    <x:row r="197" ht="36" customHeight="1">
      <x:c r="A197" s="13" t="str">
        <x:v>SYN-INJ-034</x:v>
      </x:c>
      <x:c r="B197" s="13" t="str">
        <x:v>physical injury</x:v>
      </x:c>
      <x:c r="C197" s="13" t="str">
        <x:v>Synthetic</x:v>
      </x:c>
      <x:c r="D197" s="13" t="str"/>
      <x:c r="E197" s="13" t="str">
        <x:v>Criminal</x:v>
      </x:c>
      <x:c r="F197" s="13" t="str">
        <x:v>Pambabato ng maliit na bagay na tumama sa balikat</x:v>
      </x:c>
      <x:c r="G197" s="13" t="str">
        <x:v>April 15, 2026</x:v>
      </x:c>
      <x:c r="H197" s="13" t="str">
        <x:v>-</x:v>
      </x:c>
      <x:c r="I197" s="13" t="str">
        <x:v>Synthetic example: no weapon or serious medical finding stated; system must still screen severity and immediate danger.</x:v>
      </x:c>
      <x:c r="J197" s="13" t="str">
        <x:v>For Screening</x:v>
      </x:c>
      <x:c r="K197" s="13" t="str">
        <x:v>KP_COVERED_AMICABLE</x:v>
      </x:c>
      <x:c r="L197" s="13" t="str">
        <x:v>Eligible for KP screening with severity check</x:v>
      </x:c>
      <x:c r="M197" s="13" t="str">
        <x:v>Screen severity/weapon/medical findings, then mediate only if legally eligible</x:v>
      </x:c>
      <x:c r="N197" s="13" t="str">
        <x:v>Possible minor physical injury; requires severity screening.</x:v>
      </x:c>
      <x:c r="O197" s="13" t="str"/>
      <x:c r="P197" s="13" t="str">
        <x:v>Pambabato ng maliit na bagay na tumama sa balikat</x:v>
      </x:c>
      <x:c r="Q197" s="13" t="str">
        <x:v>Added to balance 'physical injury' to 49 examples using the same Justice KP label schema.</x:v>
      </x:c>
      <x:c r="R197" s="13" t="str">
        <x:v>Synthetic row based on category coverage gap from uploaded PDF</x:v>
      </x:c>
    </x:row>
    <x:row r="198" ht="36" customHeight="1">
      <x:c r="A198" s="13" t="str">
        <x:v>KP-25-022-PSWT</x:v>
      </x:c>
      <x:c r="B198" s="13" t="str">
        <x:v>threats</x:v>
      </x:c>
      <x:c r="C198" s="13" t="str">
        <x:v>Real PDF</x:v>
      </x:c>
      <x:c r="D198" s="13" t="str">
        <x:v>KP-25-022-PSWT</x:v>
      </x:c>
      <x:c r="E198" s="13" t="str">
        <x:v>Civil</x:v>
      </x:c>
      <x:c r="F198" s="13" t="str">
        <x:v>Pagbabanta at paninira ng pinto</x:v>
      </x:c>
      <x:c r="G198" s="13" t="str">
        <x:v>February 25, 2025</x:v>
      </x:c>
      <x:c r="H198" s="13" t="str">
        <x:v>02/28/2025</x:v>
      </x:c>
      <x:c r="I198" s="13" t="str">
        <x:v>Nagkaroon ng pagkakasundo nanghingi ng pasensya ang mag-asawang ipinagsumbong sa mag-asawang maysumbong.</x:v>
      </x:c>
      <x:c r="J198" s="13" t="str">
        <x:v>Settled</x:v>
      </x:c>
      <x:c r="K198" s="13" t="str">
        <x:v>KP_COVERED_AMICABLE</x:v>
      </x:c>
      <x:c r="L198" s="13" t="str">
        <x:v>Eligible for KP screening</x:v>
      </x:c>
      <x:c r="M198" s="13" t="str">
        <x:v>Proceed to barangay conciliation / mediation screening</x:v>
      </x:c>
      <x:c r="N198" s="13" t="str">
        <x:v>Threat/harassment dispute; proceed to KP only if minor and no imminent danger or protected-person issue.</x:v>
      </x:c>
      <x:c r="O198" s="13" t="str"/>
      <x:c r="P198" s="13" t="str">
        <x:v>Pagbabanta at paninira ng pinto</x:v>
      </x:c>
      <x:c r="Q198" s="13" t="str"/>
      <x:c r="R198" s="13" t="str">
        <x:v>KP CASE PSWT - Sheet1 - KP CASE PSWT - Sheet1.pdf</x:v>
      </x:c>
    </x:row>
    <x:row r="199" ht="36" customHeight="1">
      <x:c r="A199" s="13" t="str">
        <x:v>KP-25-023-PSWT</x:v>
      </x:c>
      <x:c r="B199" s="13" t="str">
        <x:v>threats</x:v>
      </x:c>
      <x:c r="C199" s="13" t="str">
        <x:v>Real PDF</x:v>
      </x:c>
      <x:c r="D199" s="13" t="str">
        <x:v>KP-25-023-PSWT</x:v>
      </x:c>
      <x:c r="E199" s="13" t="str">
        <x:v>Criminal</x:v>
      </x:c>
      <x:c r="F199" s="13" t="str">
        <x:v>Paninigaw at pag-amba ng hahampasin</x:v>
      </x:c>
      <x:c r="G199" s="13" t="str">
        <x:v>March 4, 2025</x:v>
      </x:c>
      <x:c r="H199" s="13" t="str">
        <x:v>-</x:v>
      </x:c>
      <x:c r="I199" s="13" t="str">
        <x:v>Walang pagkakasundo sa dalawang panig kaya't ang maysumbong ay may karapatan ng maghain ng kaukulang reklamo sa kinauukulang tanggapan.</x:v>
      </x:c>
      <x:c r="J199" s="13" t="str">
        <x:v>Endorsed</x:v>
      </x:c>
      <x:c r="K199" s="13" t="str">
        <x:v>KP_COVERED_AMICABLE</x:v>
      </x:c>
      <x:c r="L199" s="13" t="str">
        <x:v>Eligible for KP screening</x:v>
      </x:c>
      <x:c r="M199" s="13" t="str">
        <x:v>Proceed to barangay conciliation / mediation screening</x:v>
      </x:c>
      <x:c r="N199" s="13" t="str">
        <x:v>Threat/harassment dispute; proceed to KP only if minor and no imminent danger or protected-person issue.</x:v>
      </x:c>
      <x:c r="O199" s="13" t="str"/>
      <x:c r="P199" s="13" t="str">
        <x:v>Paninigaw at pag-amba ng hahampasin</x:v>
      </x:c>
      <x:c r="Q199" s="13" t="str"/>
      <x:c r="R199" s="13" t="str">
        <x:v>KP CASE PSWT - Sheet1 - KP CASE PSWT - Sheet1.pdf</x:v>
      </x:c>
    </x:row>
    <x:row r="200" ht="36" customHeight="1">
      <x:c r="A200" s="13" t="str">
        <x:v>KP-25-036-PSWT</x:v>
      </x:c>
      <x:c r="B200" s="13" t="str">
        <x:v>threats</x:v>
      </x:c>
      <x:c r="C200" s="13" t="str">
        <x:v>Real PDF</x:v>
      </x:c>
      <x:c r="D200" s="13" t="str">
        <x:v>KP-25-036-PSWT</x:v>
      </x:c>
      <x:c r="E200" s="13" t="str">
        <x:v>Criminal</x:v>
      </x:c>
      <x:c r="F200" s="13" t="str">
        <x:v>Pambabato at pagbabanta</x:v>
      </x:c>
      <x:c r="G200" s="13" t="str">
        <x:v>April 12, 2025</x:v>
      </x:c>
      <x:c r="H200" s="13" t="str">
        <x:v>-</x:v>
      </x:c>
      <x:c r="I200" s="13" t="str">
        <x:v>Hindi dumadating ang ipinagsumbong sa oras ng hearing.</x:v>
      </x:c>
      <x:c r="J200" s="13" t="str">
        <x:v>Endorsed</x:v>
      </x:c>
      <x:c r="K200" s="13" t="str">
        <x:v>KP_COVERED_AMICABLE</x:v>
      </x:c>
      <x:c r="L200" s="13" t="str">
        <x:v>Eligible for KP screening</x:v>
      </x:c>
      <x:c r="M200" s="13" t="str">
        <x:v>Proceed to barangay conciliation / mediation screening</x:v>
      </x:c>
      <x:c r="N200" s="13" t="str">
        <x:v>Threat/harassment dispute; proceed to KP only if minor and no imminent danger or protected-person issue.</x:v>
      </x:c>
      <x:c r="O200" s="13" t="str"/>
      <x:c r="P200" s="13" t="str">
        <x:v>Pambabato at pagbabanta</x:v>
      </x:c>
      <x:c r="Q200" s="13" t="str"/>
      <x:c r="R200" s="13" t="str">
        <x:v>KP CASE PSWT - Sheet1 - KP CASE PSWT - Sheet1.pdf</x:v>
      </x:c>
    </x:row>
    <x:row r="201" ht="36" customHeight="1">
      <x:c r="A201" s="13" t="str">
        <x:v>KP-25-057-PSWT</x:v>
      </x:c>
      <x:c r="B201" s="13" t="str">
        <x:v>threats</x:v>
      </x:c>
      <x:c r="C201" s="13" t="str">
        <x:v>Real PDF</x:v>
      </x:c>
      <x:c r="D201" s="13" t="str">
        <x:v>KP-25-057-PSWT</x:v>
      </x:c>
      <x:c r="E201" s="13" t="str">
        <x:v>Criminal</x:v>
      </x:c>
      <x:c r="F201" s="13" t="str">
        <x:v>Pagbabanta</x:v>
      </x:c>
      <x:c r="G201" s="13" t="str">
        <x:v>June 20, 2025</x:v>
      </x:c>
      <x:c r="H201" s="13" t="str">
        <x:v>-</x:v>
      </x:c>
      <x:c r="I201" s="13" t="str">
        <x:v>Nagkaroon ng pagkakasundo. At nakahingian ng pasensya ang isa't isa. Ang usapin ay tinapos sa araw na ito.</x:v>
      </x:c>
      <x:c r="J201" s="13" t="str">
        <x:v>Settled</x:v>
      </x:c>
      <x:c r="K201" s="13" t="str">
        <x:v>KP_COVERED_AMICABLE</x:v>
      </x:c>
      <x:c r="L201" s="13" t="str">
        <x:v>Eligible for KP screening</x:v>
      </x:c>
      <x:c r="M201" s="13" t="str">
        <x:v>Proceed to barangay conciliation / mediation screening</x:v>
      </x:c>
      <x:c r="N201" s="13" t="str">
        <x:v>Threat/harassment dispute; proceed to KP only if minor and no imminent danger or protected-person issue.</x:v>
      </x:c>
      <x:c r="O201" s="13" t="str"/>
      <x:c r="P201" s="13" t="str">
        <x:v>Pagbabanta</x:v>
      </x:c>
      <x:c r="Q201" s="13" t="str"/>
      <x:c r="R201" s="13" t="str">
        <x:v>KP CASE PSWT - Sheet1 - KP CASE PSWT - Sheet1.pdf</x:v>
      </x:c>
    </x:row>
    <x:row r="202" ht="36" customHeight="1">
      <x:c r="A202" s="13" t="str">
        <x:v>KP-25-065-PSWT</x:v>
      </x:c>
      <x:c r="B202" s="13" t="str">
        <x:v>threats</x:v>
      </x:c>
      <x:c r="C202" s="13" t="str">
        <x:v>Real PDF</x:v>
      </x:c>
      <x:c r="D202" s="13" t="str">
        <x:v>KP-25-065-PSWT</x:v>
      </x:c>
      <x:c r="E202" s="13" t="str">
        <x:v>Criminal</x:v>
      </x:c>
      <x:c r="F202" s="13" t="str">
        <x:v>Pagbabanta at panggugulo</x:v>
      </x:c>
      <x:c r="G202" s="13" t="str">
        <x:v>August 5, 2025</x:v>
      </x:c>
      <x:c r="H202" s="13" t="str">
        <x:v>-</x:v>
      </x:c>
      <x:c r="I202" s="13" t="str">
        <x:v>Hindi dumadating ang ipinagsumbong kaya't ang maysumbong ay may karapatan ng maghain ng kaukulang reklamo sa kinauukulang tanggapan.</x:v>
      </x:c>
      <x:c r="J202" s="13" t="str">
        <x:v>Endorsed</x:v>
      </x:c>
      <x:c r="K202" s="13" t="str">
        <x:v>KP_COVERED_AMICABLE</x:v>
      </x:c>
      <x:c r="L202" s="13" t="str">
        <x:v>Eligible for KP screening</x:v>
      </x:c>
      <x:c r="M202" s="13" t="str">
        <x:v>Proceed to barangay conciliation / mediation screening</x:v>
      </x:c>
      <x:c r="N202" s="13" t="str">
        <x:v>Threat/harassment dispute; proceed to KP only if minor and no imminent danger or protected-person issue.</x:v>
      </x:c>
      <x:c r="O202" s="13" t="str"/>
      <x:c r="P202" s="13" t="str">
        <x:v>Pagbabanta at panggugulo</x:v>
      </x:c>
      <x:c r="Q202" s="13" t="str"/>
      <x:c r="R202" s="13" t="str">
        <x:v>KP CASE PSWT - Sheet1 - KP CASE PSWT - Sheet1.pdf</x:v>
      </x:c>
    </x:row>
    <x:row r="203" ht="36" customHeight="1">
      <x:c r="A203" s="13" t="str">
        <x:v>KP-25-080-PSWT</x:v>
      </x:c>
      <x:c r="B203" s="13" t="str">
        <x:v>threats</x:v>
      </x:c>
      <x:c r="C203" s="13" t="str">
        <x:v>Real PDF</x:v>
      </x:c>
      <x:c r="D203" s="13" t="str">
        <x:v>KP-25-080-PSWT</x:v>
      </x:c>
      <x:c r="E203" s="13" t="str">
        <x:v>Criminal</x:v>
      </x:c>
      <x:c r="F203" s="13" t="str">
        <x:v>Pagbabanta sa kanilang kapatid</x:v>
      </x:c>
      <x:c r="G203" s="13" t="str">
        <x:v>September 7, 2025</x:v>
      </x:c>
      <x:c r="H203" s="13" t="str">
        <x:v>September 25, 2025</x:v>
      </x:c>
      <x:c r="I203" s="13" t="str">
        <x:v>Ang usapin ay tinatapos na.</x:v>
      </x:c>
      <x:c r="J203" s="13" t="str">
        <x:v>Settled</x:v>
      </x:c>
      <x:c r="K203" s="13" t="str">
        <x:v>KP_COVERED_AMICABLE</x:v>
      </x:c>
      <x:c r="L203" s="13" t="str">
        <x:v>Eligible for KP screening</x:v>
      </x:c>
      <x:c r="M203" s="13" t="str">
        <x:v>Proceed to barangay conciliation / mediation screening</x:v>
      </x:c>
      <x:c r="N203" s="13" t="str">
        <x:v>Threat/harassment dispute; proceed to KP only if minor and no imminent danger or protected-person issue.</x:v>
      </x:c>
      <x:c r="O203" s="13" t="str"/>
      <x:c r="P203" s="13" t="str">
        <x:v>Pagbabanta sa kanilang kapatid</x:v>
      </x:c>
      <x:c r="Q203" s="13" t="str"/>
      <x:c r="R203" s="13" t="str">
        <x:v>KP CASE PSWT - Sheet1 - KP CASE PSWT - Sheet1.pdf</x:v>
      </x:c>
    </x:row>
    <x:row r="204" ht="36" customHeight="1">
      <x:c r="A204" s="13" t="str">
        <x:v>KP-25-083-PSWT</x:v>
      </x:c>
      <x:c r="B204" s="13" t="str">
        <x:v>threats</x:v>
      </x:c>
      <x:c r="C204" s="13" t="str">
        <x:v>Real PDF</x:v>
      </x:c>
      <x:c r="D204" s="13" t="str">
        <x:v>KP-25-083-PSWT</x:v>
      </x:c>
      <x:c r="E204" s="13" t="str">
        <x:v>Criminal</x:v>
      </x:c>
      <x:c r="F204" s="13" t="str">
        <x:v>PAgbabanta</x:v>
      </x:c>
      <x:c r="G204" s="13" t="str">
        <x:v>September 22, 2025</x:v>
      </x:c>
      <x:c r="H204" s="13" t="str">
        <x:v>-</x:v>
      </x:c>
      <x:c r="I204" s="13" t="str">
        <x:v>Ang ipinagsumbong ay hindi nadating sa araw ng paghaharap kaya't ang maysumbong ay may karapatan ng maghain ng kaukulang reklamo sa kinauukulang tanggapan.</x:v>
      </x:c>
      <x:c r="J204" s="13" t="str">
        <x:v>Endorsed</x:v>
      </x:c>
      <x:c r="K204" s="13" t="str">
        <x:v>KP_COVERED_AMICABLE</x:v>
      </x:c>
      <x:c r="L204" s="13" t="str">
        <x:v>Eligible for KP screening</x:v>
      </x:c>
      <x:c r="M204" s="13" t="str">
        <x:v>Proceed to barangay conciliation / mediation screening</x:v>
      </x:c>
      <x:c r="N204" s="13" t="str">
        <x:v>Threat/harassment dispute; proceed to KP only if minor and no imminent danger or protected-person issue.</x:v>
      </x:c>
      <x:c r="O204" s="13" t="str"/>
      <x:c r="P204" s="13" t="str">
        <x:v>PAgbabanta</x:v>
      </x:c>
      <x:c r="Q204" s="13" t="str"/>
      <x:c r="R204" s="13" t="str">
        <x:v>KP CASE PSWT - Sheet1 - KP CASE PSWT - Sheet1.pdf</x:v>
      </x:c>
    </x:row>
    <x:row r="205" ht="36" customHeight="1">
      <x:c r="A205" s="13" t="str">
        <x:v>KP-25-097-PSWT</x:v>
      </x:c>
      <x:c r="B205" s="13" t="str">
        <x:v>threats</x:v>
      </x:c>
      <x:c r="C205" s="13" t="str">
        <x:v>Real PDF</x:v>
      </x:c>
      <x:c r="D205" s="13" t="str">
        <x:v>KP-25-097-PSWT</x:v>
      </x:c>
      <x:c r="E205" s="13" t="str">
        <x:v>Criminal</x:v>
      </x:c>
      <x:c r="F205" s="13" t="str">
        <x:v>Pagbabanta na susunugin ang bahay</x:v>
      </x:c>
      <x:c r="G205" s="13" t="str">
        <x:v>November 3, 2025</x:v>
      </x:c>
      <x:c r="H205" s="13" t="str">
        <x:v>-</x:v>
      </x:c>
      <x:c r="I205" s="13" t="str">
        <x:v>Nagkaroon ng unang paghaharap subalit walang pagkakasundo. Pangalawa at pangatlong hearing hindi nakarating ang ipinagsumbong kaya't ang maysumbong ay may karapatan ng maghain ng kaukulang reklamo sa kinauukulang tanggapan.</x:v>
      </x:c>
      <x:c r="J205" s="13" t="str">
        <x:v>Endorsed</x:v>
      </x:c>
      <x:c r="K205" s="13" t="str">
        <x:v>KP_COVERED_AMICABLE</x:v>
      </x:c>
      <x:c r="L205" s="13" t="str">
        <x:v>Eligible for KP screening</x:v>
      </x:c>
      <x:c r="M205" s="13" t="str">
        <x:v>Proceed to barangay conciliation / mediation screening</x:v>
      </x:c>
      <x:c r="N205" s="13" t="str">
        <x:v>Threat/harassment dispute; proceed to KP only if minor and no imminent danger or protected-person issue.</x:v>
      </x:c>
      <x:c r="O205" s="13" t="str"/>
      <x:c r="P205" s="13" t="str">
        <x:v>Pagbabanta na susunugin ang bahay</x:v>
      </x:c>
      <x:c r="Q205" s="13" t="str"/>
      <x:c r="R205" s="13" t="str">
        <x:v>KP CASE PSWT - Sheet1 - KP CASE PSWT - Sheet1.pdf</x:v>
      </x:c>
    </x:row>
    <x:row r="206" ht="36" customHeight="1">
      <x:c r="A206" s="13" t="str">
        <x:v>KP-25-102-PSWT</x:v>
      </x:c>
      <x:c r="B206" s="13" t="str">
        <x:v>threats</x:v>
      </x:c>
      <x:c r="C206" s="13" t="str">
        <x:v>Real PDF</x:v>
      </x:c>
      <x:c r="D206" s="13" t="str">
        <x:v>KP-25-102-PSWT</x:v>
      </x:c>
      <x:c r="E206" s="13" t="str">
        <x:v>Criminal</x:v>
      </x:c>
      <x:c r="F206" s="13" t="str">
        <x:v>Pagbabanta at pambubully</x:v>
      </x:c>
      <x:c r="G206" s="13" t="str">
        <x:v>November 14, 2025</x:v>
      </x:c>
      <x:c r="H206" s="13" t="str">
        <x:v>-</x:v>
      </x:c>
      <x:c r="I206" s="13" t="str">
        <x:v>Walang pagkakasundo ang maysumbong ay hindi na bumalik.</x:v>
      </x:c>
      <x:c r="J206" s="13" t="str">
        <x:v>Dismiss</x:v>
      </x:c>
      <x:c r="K206" s="13" t="str">
        <x:v>KP_COVERED_AMICABLE</x:v>
      </x:c>
      <x:c r="L206" s="13" t="str">
        <x:v>Eligible for KP screening</x:v>
      </x:c>
      <x:c r="M206" s="13" t="str">
        <x:v>Proceed to barangay conciliation / mediation screening</x:v>
      </x:c>
      <x:c r="N206" s="13" t="str">
        <x:v>Threat/harassment dispute; proceed to KP only if minor and no imminent danger or protected-person issue.</x:v>
      </x:c>
      <x:c r="O206" s="13" t="str"/>
      <x:c r="P206" s="13" t="str">
        <x:v>Pagbabanta at pambubully</x:v>
      </x:c>
      <x:c r="Q206" s="13" t="str"/>
      <x:c r="R206" s="13" t="str">
        <x:v>KP CASE PSWT - Sheet1 - KP CASE PSWT - Sheet1.pdf</x:v>
      </x:c>
    </x:row>
    <x:row r="207" ht="36" customHeight="1">
      <x:c r="A207" s="13" t="str">
        <x:v>SYN-THRT-001</x:v>
      </x:c>
      <x:c r="B207" s="13" t="str">
        <x:v>threats</x:v>
      </x:c>
      <x:c r="C207" s="13" t="str">
        <x:v>Synthetic</x:v>
      </x:c>
      <x:c r="D207" s="13" t="str"/>
      <x:c r="E207" s="13" t="str">
        <x:v>Criminal</x:v>
      </x:c>
      <x:c r="F207" s="13" t="str">
        <x:v>Pagbabanta na sisirain ang gate ng kapitbahay</x:v>
      </x:c>
      <x:c r="G207" s="13" t="str">
        <x:v>January 7, 2026</x:v>
      </x:c>
      <x:c r="H207" s="13" t="str">
        <x:v>-</x:v>
      </x:c>
      <x:c r="I207" s="13" t="str">
        <x:v>Synthetic example: no weapon or serious medical finding stated; system must still screen severity and immediate danger.</x:v>
      </x:c>
      <x:c r="J207" s="13" t="str">
        <x:v>For Screening</x:v>
      </x:c>
      <x:c r="K207" s="13" t="str">
        <x:v>KP_COVERED_AMICABLE</x:v>
      </x:c>
      <x:c r="L207" s="13" t="str">
        <x:v>Eligible for KP screening with safety check</x:v>
      </x:c>
      <x:c r="M207" s="13" t="str">
        <x:v>Screen imminent danger/protected-person issue, then mediate only if eligible</x:v>
      </x:c>
      <x:c r="N207" s="13" t="str">
        <x:v>Threat/harassment example; requires safety screening.</x:v>
      </x:c>
      <x:c r="O207" s="13" t="str"/>
      <x:c r="P207" s="13" t="str">
        <x:v>Pagbabanta na sisirain ang gate ng kapitbahay</x:v>
      </x:c>
      <x:c r="Q207" s="13" t="str">
        <x:v>Added to balance 'threats' to 49 examples using the same Justice KP label schema.</x:v>
      </x:c>
      <x:c r="R207" s="13" t="str">
        <x:v>Synthetic row based on category coverage gap from uploaded PDF</x:v>
      </x:c>
    </x:row>
    <x:row r="208" ht="36" customHeight="1">
      <x:c r="A208" s="13" t="str">
        <x:v>SYN-THRT-002</x:v>
      </x:c>
      <x:c r="B208" s="13" t="str">
        <x:v>threats</x:v>
      </x:c>
      <x:c r="C208" s="13" t="str">
        <x:v>Synthetic</x:v>
      </x:c>
      <x:c r="D208" s="13" t="str"/>
      <x:c r="E208" s="13" t="str">
        <x:v>Criminal</x:v>
      </x:c>
      <x:c r="F208" s="13" t="str">
        <x:v>Pag-amba na hahampasin habang nagtatalo sa daanan</x:v>
      </x:c>
      <x:c r="G208" s="13" t="str">
        <x:v>January 10, 2026</x:v>
      </x:c>
      <x:c r="H208" s="13" t="str">
        <x:v>-</x:v>
      </x:c>
      <x:c r="I208" s="13" t="str">
        <x:v>Synthetic example: no weapon or serious medical finding stated; system must still screen severity and immediate danger.</x:v>
      </x:c>
      <x:c r="J208" s="13" t="str">
        <x:v>For Screening</x:v>
      </x:c>
      <x:c r="K208" s="13" t="str">
        <x:v>KP_COVERED_AMICABLE</x:v>
      </x:c>
      <x:c r="L208" s="13" t="str">
        <x:v>Eligible for KP screening with safety check</x:v>
      </x:c>
      <x:c r="M208" s="13" t="str">
        <x:v>Screen imminent danger/protected-person issue, then mediate only if eligible</x:v>
      </x:c>
      <x:c r="N208" s="13" t="str">
        <x:v>Threat/harassment example; requires safety screening.</x:v>
      </x:c>
      <x:c r="O208" s="13" t="str"/>
      <x:c r="P208" s="13" t="str">
        <x:v>Pag-amba na hahampasin habang nagtatalo sa daanan</x:v>
      </x:c>
      <x:c r="Q208" s="13" t="str">
        <x:v>Added to balance 'threats' to 49 examples using the same Justice KP label schema.</x:v>
      </x:c>
      <x:c r="R208" s="13" t="str">
        <x:v>Synthetic row based on category coverage gap from uploaded PDF</x:v>
      </x:c>
    </x:row>
    <x:row r="209" ht="36" customHeight="1">
      <x:c r="A209" s="13" t="str">
        <x:v>SYN-THRT-003</x:v>
      </x:c>
      <x:c r="B209" s="13" t="str">
        <x:v>threats</x:v>
      </x:c>
      <x:c r="C209" s="13" t="str">
        <x:v>Synthetic</x:v>
      </x:c>
      <x:c r="D209" s="13" t="str"/>
      <x:c r="E209" s="13" t="str">
        <x:v>Criminal</x:v>
      </x:c>
      <x:c r="F209" s="13" t="str">
        <x:v>Pananakot sa kapatid tungkol sa gamit na hiniram</x:v>
      </x:c>
      <x:c r="G209" s="13" t="str">
        <x:v>January 13, 2026</x:v>
      </x:c>
      <x:c r="H209" s="13" t="str">
        <x:v>-</x:v>
      </x:c>
      <x:c r="I209" s="13" t="str">
        <x:v>Synthetic example: no weapon or serious medical finding stated; system must still screen severity and immediate danger.</x:v>
      </x:c>
      <x:c r="J209" s="13" t="str">
        <x:v>For Screening</x:v>
      </x:c>
      <x:c r="K209" s="13" t="str">
        <x:v>KP_COVERED_AMICABLE</x:v>
      </x:c>
      <x:c r="L209" s="13" t="str">
        <x:v>Eligible for KP screening with safety check</x:v>
      </x:c>
      <x:c r="M209" s="13" t="str">
        <x:v>Screen imminent danger/protected-person issue, then mediate only if eligible</x:v>
      </x:c>
      <x:c r="N209" s="13" t="str">
        <x:v>Threat/harassment example; requires safety screening.</x:v>
      </x:c>
      <x:c r="O209" s="13" t="str"/>
      <x:c r="P209" s="13" t="str">
        <x:v>Pananakot sa kapatid tungkol sa gamit na hiniram</x:v>
      </x:c>
      <x:c r="Q209" s="13" t="str">
        <x:v>Added to balance 'threats' to 49 examples using the same Justice KP label schema.</x:v>
      </x:c>
      <x:c r="R209" s="13" t="str">
        <x:v>Synthetic row based on category coverage gap from uploaded PDF</x:v>
      </x:c>
    </x:row>
    <x:row r="210" ht="36" customHeight="1">
      <x:c r="A210" s="13" t="str">
        <x:v>SYN-THRT-004</x:v>
      </x:c>
      <x:c r="B210" s="13" t="str">
        <x:v>threats</x:v>
      </x:c>
      <x:c r="C210" s="13" t="str">
        <x:v>Synthetic</x:v>
      </x:c>
      <x:c r="D210" s="13" t="str"/>
      <x:c r="E210" s="13" t="str">
        <x:v>Criminal</x:v>
      </x:c>
      <x:c r="F210" s="13" t="str">
        <x:v>Pagbabanta sa text message matapos ang hindi pagkakasundo</x:v>
      </x:c>
      <x:c r="G210" s="13" t="str">
        <x:v>January 16, 2026</x:v>
      </x:c>
      <x:c r="H210" s="13" t="str">
        <x:v>-</x:v>
      </x:c>
      <x:c r="I210" s="13" t="str">
        <x:v>Synthetic example: no weapon or serious medical finding stated; system must still screen severity and immediate danger.</x:v>
      </x:c>
      <x:c r="J210" s="13" t="str">
        <x:v>For Screening</x:v>
      </x:c>
      <x:c r="K210" s="13" t="str">
        <x:v>KP_COVERED_AMICABLE</x:v>
      </x:c>
      <x:c r="L210" s="13" t="str">
        <x:v>Eligible for KP screening with safety check</x:v>
      </x:c>
      <x:c r="M210" s="13" t="str">
        <x:v>Screen imminent danger/protected-person issue, then mediate only if eligible</x:v>
      </x:c>
      <x:c r="N210" s="13" t="str">
        <x:v>Threat/harassment example; requires safety screening.</x:v>
      </x:c>
      <x:c r="O210" s="13" t="str"/>
      <x:c r="P210" s="13" t="str">
        <x:v>Pagbabanta sa text message matapos ang hindi pagkakasundo</x:v>
      </x:c>
      <x:c r="Q210" s="13" t="str">
        <x:v>Added to balance 'threats' to 49 examples using the same Justice KP label schema.</x:v>
      </x:c>
      <x:c r="R210" s="13" t="str">
        <x:v>Synthetic row based on category coverage gap from uploaded PDF</x:v>
      </x:c>
    </x:row>
    <x:row r="211" ht="36" customHeight="1">
      <x:c r="A211" s="13" t="str">
        <x:v>SYN-THRT-005</x:v>
      </x:c>
      <x:c r="B211" s="13" t="str">
        <x:v>threats</x:v>
      </x:c>
      <x:c r="C211" s="13" t="str">
        <x:v>Synthetic</x:v>
      </x:c>
      <x:c r="D211" s="13" t="str"/>
      <x:c r="E211" s="13" t="str">
        <x:v>Criminal</x:v>
      </x:c>
      <x:c r="F211" s="13" t="str">
        <x:v>Panggugulo at pagbabanta sa harap ng bahay</x:v>
      </x:c>
      <x:c r="G211" s="13" t="str">
        <x:v>January 19, 2026</x:v>
      </x:c>
      <x:c r="H211" s="13" t="str">
        <x:v>-</x:v>
      </x:c>
      <x:c r="I211" s="13" t="str">
        <x:v>Synthetic example: no weapon or serious medical finding stated; system must still screen severity and immediate danger.</x:v>
      </x:c>
      <x:c r="J211" s="13" t="str">
        <x:v>For Screening</x:v>
      </x:c>
      <x:c r="K211" s="13" t="str">
        <x:v>KP_COVERED_AMICABLE</x:v>
      </x:c>
      <x:c r="L211" s="13" t="str">
        <x:v>Eligible for KP screening with safety check</x:v>
      </x:c>
      <x:c r="M211" s="13" t="str">
        <x:v>Screen imminent danger/protected-person issue, then mediate only if eligible</x:v>
      </x:c>
      <x:c r="N211" s="13" t="str">
        <x:v>Threat/harassment example; requires safety screening.</x:v>
      </x:c>
      <x:c r="O211" s="13" t="str"/>
      <x:c r="P211" s="13" t="str">
        <x:v>Panggugulo at pagbabanta sa harap ng bahay</x:v>
      </x:c>
      <x:c r="Q211" s="13" t="str">
        <x:v>Added to balance 'threats' to 49 examples using the same Justice KP label schema.</x:v>
      </x:c>
      <x:c r="R211" s="13" t="str">
        <x:v>Synthetic row based on category coverage gap from uploaded PDF</x:v>
      </x:c>
    </x:row>
    <x:row r="212" ht="36" customHeight="1">
      <x:c r="A212" s="13" t="str">
        <x:v>SYN-THRT-006</x:v>
      </x:c>
      <x:c r="B212" s="13" t="str">
        <x:v>threats</x:v>
      </x:c>
      <x:c r="C212" s="13" t="str">
        <x:v>Synthetic</x:v>
      </x:c>
      <x:c r="D212" s="13" t="str"/>
      <x:c r="E212" s="13" t="str">
        <x:v>Criminal</x:v>
      </x:c>
      <x:c r="F212" s="13" t="str">
        <x:v>Pagbabanta na ipapahiya sa social media kung hindi magbabayad</x:v>
      </x:c>
      <x:c r="G212" s="13" t="str">
        <x:v>January 22, 2026</x:v>
      </x:c>
      <x:c r="H212" s="13" t="str">
        <x:v>-</x:v>
      </x:c>
      <x:c r="I212" s="13" t="str">
        <x:v>Synthetic example: no weapon or serious medical finding stated; system must still screen severity and immediate danger.</x:v>
      </x:c>
      <x:c r="J212" s="13" t="str">
        <x:v>For Screening</x:v>
      </x:c>
      <x:c r="K212" s="13" t="str">
        <x:v>KP_COVERED_AMICABLE</x:v>
      </x:c>
      <x:c r="L212" s="13" t="str">
        <x:v>Eligible for KP screening with safety check</x:v>
      </x:c>
      <x:c r="M212" s="13" t="str">
        <x:v>Screen imminent danger/protected-person issue, then mediate only if eligible</x:v>
      </x:c>
      <x:c r="N212" s="13" t="str">
        <x:v>Threat/harassment example; requires safety screening.</x:v>
      </x:c>
      <x:c r="O212" s="13" t="str"/>
      <x:c r="P212" s="13" t="str">
        <x:v>Pagbabanta na ipapahiya sa social media kung hindi magbabayad</x:v>
      </x:c>
      <x:c r="Q212" s="13" t="str">
        <x:v>Added to balance 'threats' to 49 examples using the same Justice KP label schema.</x:v>
      </x:c>
      <x:c r="R212" s="13" t="str">
        <x:v>Synthetic row based on category coverage gap from uploaded PDF</x:v>
      </x:c>
    </x:row>
    <x:row r="213" ht="36" customHeight="1">
      <x:c r="A213" s="13" t="str">
        <x:v>SYN-THRT-007</x:v>
      </x:c>
      <x:c r="B213" s="13" t="str">
        <x:v>threats</x:v>
      </x:c>
      <x:c r="C213" s="13" t="str">
        <x:v>Synthetic</x:v>
      </x:c>
      <x:c r="D213" s="13" t="str"/>
      <x:c r="E213" s="13" t="str">
        <x:v>Criminal</x:v>
      </x:c>
      <x:c r="F213" s="13" t="str">
        <x:v>Paninigaw at pag-amba ng pananakit sa kapitbahay</x:v>
      </x:c>
      <x:c r="G213" s="13" t="str">
        <x:v>January 25, 2026</x:v>
      </x:c>
      <x:c r="H213" s="13" t="str">
        <x:v>-</x:v>
      </x:c>
      <x:c r="I213" s="13" t="str">
        <x:v>Synthetic example: no weapon or serious medical finding stated; system must still screen severity and immediate danger.</x:v>
      </x:c>
      <x:c r="J213" s="13" t="str">
        <x:v>For Screening</x:v>
      </x:c>
      <x:c r="K213" s="13" t="str">
        <x:v>KP_COVERED_AMICABLE</x:v>
      </x:c>
      <x:c r="L213" s="13" t="str">
        <x:v>Eligible for KP screening with safety check</x:v>
      </x:c>
      <x:c r="M213" s="13" t="str">
        <x:v>Screen imminent danger/protected-person issue, then mediate only if eligible</x:v>
      </x:c>
      <x:c r="N213" s="13" t="str">
        <x:v>Threat/harassment example; requires safety screening.</x:v>
      </x:c>
      <x:c r="O213" s="13" t="str"/>
      <x:c r="P213" s="13" t="str">
        <x:v>Paninigaw at pag-amba ng pananakit sa kapitbahay</x:v>
      </x:c>
      <x:c r="Q213" s="13" t="str">
        <x:v>Added to balance 'threats' to 49 examples using the same Justice KP label schema.</x:v>
      </x:c>
      <x:c r="R213" s="13" t="str">
        <x:v>Synthetic row based on category coverage gap from uploaded PDF</x:v>
      </x:c>
    </x:row>
    <x:row r="214" ht="36" customHeight="1">
      <x:c r="A214" s="13" t="str">
        <x:v>SYN-THRT-008</x:v>
      </x:c>
      <x:c r="B214" s="13" t="str">
        <x:v>threats</x:v>
      </x:c>
      <x:c r="C214" s="13" t="str">
        <x:v>Synthetic</x:v>
      </x:c>
      <x:c r="D214" s="13" t="str"/>
      <x:c r="E214" s="13" t="str">
        <x:v>Criminal</x:v>
      </x:c>
      <x:c r="F214" s="13" t="str">
        <x:v>Pagbabanta tungkol sa away sa parking space</x:v>
      </x:c>
      <x:c r="G214" s="13" t="str">
        <x:v>January 28, 2026</x:v>
      </x:c>
      <x:c r="H214" s="13" t="str">
        <x:v>-</x:v>
      </x:c>
      <x:c r="I214" s="13" t="str">
        <x:v>Synthetic example: no weapon or serious medical finding stated; system must still screen severity and immediate danger.</x:v>
      </x:c>
      <x:c r="J214" s="13" t="str">
        <x:v>For Screening</x:v>
      </x:c>
      <x:c r="K214" s="13" t="str">
        <x:v>KP_COVERED_AMICABLE</x:v>
      </x:c>
      <x:c r="L214" s="13" t="str">
        <x:v>Eligible for KP screening with safety check</x:v>
      </x:c>
      <x:c r="M214" s="13" t="str">
        <x:v>Screen imminent danger/protected-person issue, then mediate only if eligible</x:v>
      </x:c>
      <x:c r="N214" s="13" t="str">
        <x:v>Threat/harassment example; requires safety screening.</x:v>
      </x:c>
      <x:c r="O214" s="13" t="str"/>
      <x:c r="P214" s="13" t="str">
        <x:v>Pagbabanta tungkol sa away sa parking space</x:v>
      </x:c>
      <x:c r="Q214" s="13" t="str">
        <x:v>Added to balance 'threats' to 49 examples using the same Justice KP label schema.</x:v>
      </x:c>
      <x:c r="R214" s="13" t="str">
        <x:v>Synthetic row based on category coverage gap from uploaded PDF</x:v>
      </x:c>
    </x:row>
    <x:row r="215" ht="36" customHeight="1">
      <x:c r="A215" s="13" t="str">
        <x:v>SYN-THRT-009</x:v>
      </x:c>
      <x:c r="B215" s="13" t="str">
        <x:v>threats</x:v>
      </x:c>
      <x:c r="C215" s="13" t="str">
        <x:v>Synthetic</x:v>
      </x:c>
      <x:c r="D215" s="13" t="str"/>
      <x:c r="E215" s="13" t="str">
        <x:v>Criminal</x:v>
      </x:c>
      <x:c r="F215" s="13" t="str">
        <x:v>Pagbabanta habang lasing sa labas ng bahay</x:v>
      </x:c>
      <x:c r="G215" s="13" t="str">
        <x:v>January 31, 2026</x:v>
      </x:c>
      <x:c r="H215" s="13" t="str">
        <x:v>-</x:v>
      </x:c>
      <x:c r="I215" s="13" t="str">
        <x:v>Synthetic example: no weapon or serious medical finding stated; system must still screen severity and immediate danger.</x:v>
      </x:c>
      <x:c r="J215" s="13" t="str">
        <x:v>For Screening</x:v>
      </x:c>
      <x:c r="K215" s="13" t="str">
        <x:v>KP_COVERED_AMICABLE</x:v>
      </x:c>
      <x:c r="L215" s="13" t="str">
        <x:v>Eligible for KP screening with safety check</x:v>
      </x:c>
      <x:c r="M215" s="13" t="str">
        <x:v>Screen imminent danger/protected-person issue, then mediate only if eligible</x:v>
      </x:c>
      <x:c r="N215" s="13" t="str">
        <x:v>Threat/harassment example; requires safety screening.</x:v>
      </x:c>
      <x:c r="O215" s="13" t="str"/>
      <x:c r="P215" s="13" t="str">
        <x:v>Pagbabanta habang lasing sa labas ng bahay</x:v>
      </x:c>
      <x:c r="Q215" s="13" t="str">
        <x:v>Added to balance 'threats' to 49 examples using the same Justice KP label schema.</x:v>
      </x:c>
      <x:c r="R215" s="13" t="str">
        <x:v>Synthetic row based on category coverage gap from uploaded PDF</x:v>
      </x:c>
    </x:row>
    <x:row r="216" ht="36" customHeight="1">
      <x:c r="A216" s="13" t="str">
        <x:v>SYN-THRT-010</x:v>
      </x:c>
      <x:c r="B216" s="13" t="str">
        <x:v>threats</x:v>
      </x:c>
      <x:c r="C216" s="13" t="str">
        <x:v>Synthetic</x:v>
      </x:c>
      <x:c r="D216" s="13" t="str"/>
      <x:c r="E216" s="13" t="str">
        <x:v>Criminal</x:v>
      </x:c>
      <x:c r="F216" s="13" t="str">
        <x:v>Pambubully at pananakot sa kapitbahay</x:v>
      </x:c>
      <x:c r="G216" s="13" t="str">
        <x:v>February 3, 2026</x:v>
      </x:c>
      <x:c r="H216" s="13" t="str">
        <x:v>-</x:v>
      </x:c>
      <x:c r="I216" s="13" t="str">
        <x:v>Synthetic example: no weapon or serious medical finding stated; system must still screen severity and immediate danger.</x:v>
      </x:c>
      <x:c r="J216" s="13" t="str">
        <x:v>For Screening</x:v>
      </x:c>
      <x:c r="K216" s="13" t="str">
        <x:v>KP_COVERED_AMICABLE</x:v>
      </x:c>
      <x:c r="L216" s="13" t="str">
        <x:v>Eligible for KP screening with safety check</x:v>
      </x:c>
      <x:c r="M216" s="13" t="str">
        <x:v>Screen imminent danger/protected-person issue, then mediate only if eligible</x:v>
      </x:c>
      <x:c r="N216" s="13" t="str">
        <x:v>Threat/harassment example; requires safety screening.</x:v>
      </x:c>
      <x:c r="O216" s="13" t="str"/>
      <x:c r="P216" s="13" t="str">
        <x:v>Pambubully at pananakot sa kapitbahay</x:v>
      </x:c>
      <x:c r="Q216" s="13" t="str">
        <x:v>Added to balance 'threats' to 49 examples using the same Justice KP label schema.</x:v>
      </x:c>
      <x:c r="R216" s="13" t="str">
        <x:v>Synthetic row based on category coverage gap from uploaded PDF</x:v>
      </x:c>
    </x:row>
    <x:row r="217" ht="36" customHeight="1">
      <x:c r="A217" s="13" t="str">
        <x:v>SYN-THRT-011</x:v>
      </x:c>
      <x:c r="B217" s="13" t="str">
        <x:v>threats</x:v>
      </x:c>
      <x:c r="C217" s="13" t="str">
        <x:v>Synthetic</x:v>
      </x:c>
      <x:c r="D217" s="13" t="str"/>
      <x:c r="E217" s="13" t="str">
        <x:v>Criminal</x:v>
      </x:c>
      <x:c r="F217" s="13" t="str">
        <x:v>Pagbabanta na sisirain ang gate ng kapitbahay</x:v>
      </x:c>
      <x:c r="G217" s="13" t="str">
        <x:v>February 6, 2026</x:v>
      </x:c>
      <x:c r="H217" s="13" t="str">
        <x:v>-</x:v>
      </x:c>
      <x:c r="I217" s="13" t="str">
        <x:v>Synthetic example: no weapon or serious medical finding stated; system must still screen severity and immediate danger.</x:v>
      </x:c>
      <x:c r="J217" s="13" t="str">
        <x:v>For Screening</x:v>
      </x:c>
      <x:c r="K217" s="13" t="str">
        <x:v>KP_COVERED_AMICABLE</x:v>
      </x:c>
      <x:c r="L217" s="13" t="str">
        <x:v>Eligible for KP screening with safety check</x:v>
      </x:c>
      <x:c r="M217" s="13" t="str">
        <x:v>Screen imminent danger/protected-person issue, then mediate only if eligible</x:v>
      </x:c>
      <x:c r="N217" s="13" t="str">
        <x:v>Threat/harassment example; requires safety screening.</x:v>
      </x:c>
      <x:c r="O217" s="13" t="str"/>
      <x:c r="P217" s="13" t="str">
        <x:v>Pagbabanta na sisirain ang gate ng kapitbahay</x:v>
      </x:c>
      <x:c r="Q217" s="13" t="str">
        <x:v>Added to balance 'threats' to 49 examples using the same Justice KP label schema.</x:v>
      </x:c>
      <x:c r="R217" s="13" t="str">
        <x:v>Synthetic row based on category coverage gap from uploaded PDF</x:v>
      </x:c>
    </x:row>
    <x:row r="218" ht="36" customHeight="1">
      <x:c r="A218" s="13" t="str">
        <x:v>SYN-THRT-012</x:v>
      </x:c>
      <x:c r="B218" s="13" t="str">
        <x:v>threats</x:v>
      </x:c>
      <x:c r="C218" s="13" t="str">
        <x:v>Synthetic</x:v>
      </x:c>
      <x:c r="D218" s="13" t="str"/>
      <x:c r="E218" s="13" t="str">
        <x:v>Criminal</x:v>
      </x:c>
      <x:c r="F218" s="13" t="str">
        <x:v>Pag-amba na hahampasin habang nagtatalo sa daanan</x:v>
      </x:c>
      <x:c r="G218" s="13" t="str">
        <x:v>February 9, 2026</x:v>
      </x:c>
      <x:c r="H218" s="13" t="str">
        <x:v>-</x:v>
      </x:c>
      <x:c r="I218" s="13" t="str">
        <x:v>Synthetic example: no weapon or serious medical finding stated; system must still screen severity and immediate danger.</x:v>
      </x:c>
      <x:c r="J218" s="13" t="str">
        <x:v>For Screening</x:v>
      </x:c>
      <x:c r="K218" s="13" t="str">
        <x:v>KP_COVERED_AMICABLE</x:v>
      </x:c>
      <x:c r="L218" s="13" t="str">
        <x:v>Eligible for KP screening with safety check</x:v>
      </x:c>
      <x:c r="M218" s="13" t="str">
        <x:v>Screen imminent danger/protected-person issue, then mediate only if eligible</x:v>
      </x:c>
      <x:c r="N218" s="13" t="str">
        <x:v>Threat/harassment example; requires safety screening.</x:v>
      </x:c>
      <x:c r="O218" s="13" t="str"/>
      <x:c r="P218" s="13" t="str">
        <x:v>Pag-amba na hahampasin habang nagtatalo sa daanan</x:v>
      </x:c>
      <x:c r="Q218" s="13" t="str">
        <x:v>Added to balance 'threats' to 49 examples using the same Justice KP label schema.</x:v>
      </x:c>
      <x:c r="R218" s="13" t="str">
        <x:v>Synthetic row based on category coverage gap from uploaded PDF</x:v>
      </x:c>
    </x:row>
    <x:row r="219" ht="36" customHeight="1">
      <x:c r="A219" s="13" t="str">
        <x:v>SYN-THRT-013</x:v>
      </x:c>
      <x:c r="B219" s="13" t="str">
        <x:v>threats</x:v>
      </x:c>
      <x:c r="C219" s="13" t="str">
        <x:v>Synthetic</x:v>
      </x:c>
      <x:c r="D219" s="13" t="str"/>
      <x:c r="E219" s="13" t="str">
        <x:v>Criminal</x:v>
      </x:c>
      <x:c r="F219" s="13" t="str">
        <x:v>Pananakot sa kapatid tungkol sa gamit na hiniram</x:v>
      </x:c>
      <x:c r="G219" s="13" t="str">
        <x:v>February 12, 2026</x:v>
      </x:c>
      <x:c r="H219" s="13" t="str">
        <x:v>-</x:v>
      </x:c>
      <x:c r="I219" s="13" t="str">
        <x:v>Synthetic example: no weapon or serious medical finding stated; system must still screen severity and immediate danger.</x:v>
      </x:c>
      <x:c r="J219" s="13" t="str">
        <x:v>For Screening</x:v>
      </x:c>
      <x:c r="K219" s="13" t="str">
        <x:v>KP_COVERED_AMICABLE</x:v>
      </x:c>
      <x:c r="L219" s="13" t="str">
        <x:v>Eligible for KP screening with safety check</x:v>
      </x:c>
      <x:c r="M219" s="13" t="str">
        <x:v>Screen imminent danger/protected-person issue, then mediate only if eligible</x:v>
      </x:c>
      <x:c r="N219" s="13" t="str">
        <x:v>Threat/harassment example; requires safety screening.</x:v>
      </x:c>
      <x:c r="O219" s="13" t="str"/>
      <x:c r="P219" s="13" t="str">
        <x:v>Pananakot sa kapatid tungkol sa gamit na hiniram</x:v>
      </x:c>
      <x:c r="Q219" s="13" t="str">
        <x:v>Added to balance 'threats' to 49 examples using the same Justice KP label schema.</x:v>
      </x:c>
      <x:c r="R219" s="13" t="str">
        <x:v>Synthetic row based on category coverage gap from uploaded PDF</x:v>
      </x:c>
    </x:row>
    <x:row r="220" ht="36" customHeight="1">
      <x:c r="A220" s="13" t="str">
        <x:v>SYN-THRT-014</x:v>
      </x:c>
      <x:c r="B220" s="13" t="str">
        <x:v>threats</x:v>
      </x:c>
      <x:c r="C220" s="13" t="str">
        <x:v>Synthetic</x:v>
      </x:c>
      <x:c r="D220" s="13" t="str"/>
      <x:c r="E220" s="13" t="str">
        <x:v>Criminal</x:v>
      </x:c>
      <x:c r="F220" s="13" t="str">
        <x:v>Pagbabanta sa text message matapos ang hindi pagkakasundo</x:v>
      </x:c>
      <x:c r="G220" s="13" t="str">
        <x:v>February 15, 2026</x:v>
      </x:c>
      <x:c r="H220" s="13" t="str">
        <x:v>-</x:v>
      </x:c>
      <x:c r="I220" s="13" t="str">
        <x:v>Synthetic example: no weapon or serious medical finding stated; system must still screen severity and immediate danger.</x:v>
      </x:c>
      <x:c r="J220" s="13" t="str">
        <x:v>For Screening</x:v>
      </x:c>
      <x:c r="K220" s="13" t="str">
        <x:v>KP_COVERED_AMICABLE</x:v>
      </x:c>
      <x:c r="L220" s="13" t="str">
        <x:v>Eligible for KP screening with safety check</x:v>
      </x:c>
      <x:c r="M220" s="13" t="str">
        <x:v>Screen imminent danger/protected-person issue, then mediate only if eligible</x:v>
      </x:c>
      <x:c r="N220" s="13" t="str">
        <x:v>Threat/harassment example; requires safety screening.</x:v>
      </x:c>
      <x:c r="O220" s="13" t="str"/>
      <x:c r="P220" s="13" t="str">
        <x:v>Pagbabanta sa text message matapos ang hindi pagkakasundo</x:v>
      </x:c>
      <x:c r="Q220" s="13" t="str">
        <x:v>Added to balance 'threats' to 49 examples using the same Justice KP label schema.</x:v>
      </x:c>
      <x:c r="R220" s="13" t="str">
        <x:v>Synthetic row based on category coverage gap from uploaded PDF</x:v>
      </x:c>
    </x:row>
    <x:row r="221" ht="36" customHeight="1">
      <x:c r="A221" s="13" t="str">
        <x:v>SYN-THRT-015</x:v>
      </x:c>
      <x:c r="B221" s="13" t="str">
        <x:v>threats</x:v>
      </x:c>
      <x:c r="C221" s="13" t="str">
        <x:v>Synthetic</x:v>
      </x:c>
      <x:c r="D221" s="13" t="str"/>
      <x:c r="E221" s="13" t="str">
        <x:v>Criminal</x:v>
      </x:c>
      <x:c r="F221" s="13" t="str">
        <x:v>Panggugulo at pagbabanta sa harap ng bahay</x:v>
      </x:c>
      <x:c r="G221" s="13" t="str">
        <x:v>February 18, 2026</x:v>
      </x:c>
      <x:c r="H221" s="13" t="str">
        <x:v>-</x:v>
      </x:c>
      <x:c r="I221" s="13" t="str">
        <x:v>Synthetic example: no weapon or serious medical finding stated; system must still screen severity and immediate danger.</x:v>
      </x:c>
      <x:c r="J221" s="13" t="str">
        <x:v>For Screening</x:v>
      </x:c>
      <x:c r="K221" s="13" t="str">
        <x:v>KP_COVERED_AMICABLE</x:v>
      </x:c>
      <x:c r="L221" s="13" t="str">
        <x:v>Eligible for KP screening with safety check</x:v>
      </x:c>
      <x:c r="M221" s="13" t="str">
        <x:v>Screen imminent danger/protected-person issue, then mediate only if eligible</x:v>
      </x:c>
      <x:c r="N221" s="13" t="str">
        <x:v>Threat/harassment example; requires safety screening.</x:v>
      </x:c>
      <x:c r="O221" s="13" t="str"/>
      <x:c r="P221" s="13" t="str">
        <x:v>Panggugulo at pagbabanta sa harap ng bahay</x:v>
      </x:c>
      <x:c r="Q221" s="13" t="str">
        <x:v>Added to balance 'threats' to 49 examples using the same Justice KP label schema.</x:v>
      </x:c>
      <x:c r="R221" s="13" t="str">
        <x:v>Synthetic row based on category coverage gap from uploaded PDF</x:v>
      </x:c>
    </x:row>
    <x:row r="222" ht="36" customHeight="1">
      <x:c r="A222" s="13" t="str">
        <x:v>SYN-THRT-016</x:v>
      </x:c>
      <x:c r="B222" s="13" t="str">
        <x:v>threats</x:v>
      </x:c>
      <x:c r="C222" s="13" t="str">
        <x:v>Synthetic</x:v>
      </x:c>
      <x:c r="D222" s="13" t="str"/>
      <x:c r="E222" s="13" t="str">
        <x:v>Criminal</x:v>
      </x:c>
      <x:c r="F222" s="13" t="str">
        <x:v>Pagbabanta na ipapahiya sa social media kung hindi magbabayad</x:v>
      </x:c>
      <x:c r="G222" s="13" t="str">
        <x:v>February 21, 2026</x:v>
      </x:c>
      <x:c r="H222" s="13" t="str">
        <x:v>-</x:v>
      </x:c>
      <x:c r="I222" s="13" t="str">
        <x:v>Synthetic example: no weapon or serious medical finding stated; system must still screen severity and immediate danger.</x:v>
      </x:c>
      <x:c r="J222" s="13" t="str">
        <x:v>For Screening</x:v>
      </x:c>
      <x:c r="K222" s="13" t="str">
        <x:v>KP_COVERED_AMICABLE</x:v>
      </x:c>
      <x:c r="L222" s="13" t="str">
        <x:v>Eligible for KP screening with safety check</x:v>
      </x:c>
      <x:c r="M222" s="13" t="str">
        <x:v>Screen imminent danger/protected-person issue, then mediate only if eligible</x:v>
      </x:c>
      <x:c r="N222" s="13" t="str">
        <x:v>Threat/harassment example; requires safety screening.</x:v>
      </x:c>
      <x:c r="O222" s="13" t="str"/>
      <x:c r="P222" s="13" t="str">
        <x:v>Pagbabanta na ipapahiya sa social media kung hindi magbabayad</x:v>
      </x:c>
      <x:c r="Q222" s="13" t="str">
        <x:v>Added to balance 'threats' to 49 examples using the same Justice KP label schema.</x:v>
      </x:c>
      <x:c r="R222" s="13" t="str">
        <x:v>Synthetic row based on category coverage gap from uploaded PDF</x:v>
      </x:c>
    </x:row>
    <x:row r="223" ht="36" customHeight="1">
      <x:c r="A223" s="13" t="str">
        <x:v>SYN-THRT-017</x:v>
      </x:c>
      <x:c r="B223" s="13" t="str">
        <x:v>threats</x:v>
      </x:c>
      <x:c r="C223" s="13" t="str">
        <x:v>Synthetic</x:v>
      </x:c>
      <x:c r="D223" s="13" t="str"/>
      <x:c r="E223" s="13" t="str">
        <x:v>Criminal</x:v>
      </x:c>
      <x:c r="F223" s="13" t="str">
        <x:v>Paninigaw at pag-amba ng pananakit sa kapitbahay</x:v>
      </x:c>
      <x:c r="G223" s="13" t="str">
        <x:v>February 24, 2026</x:v>
      </x:c>
      <x:c r="H223" s="13" t="str">
        <x:v>-</x:v>
      </x:c>
      <x:c r="I223" s="13" t="str">
        <x:v>Synthetic example: no weapon or serious medical finding stated; system must still screen severity and immediate danger.</x:v>
      </x:c>
      <x:c r="J223" s="13" t="str">
        <x:v>For Screening</x:v>
      </x:c>
      <x:c r="K223" s="13" t="str">
        <x:v>KP_COVERED_AMICABLE</x:v>
      </x:c>
      <x:c r="L223" s="13" t="str">
        <x:v>Eligible for KP screening with safety check</x:v>
      </x:c>
      <x:c r="M223" s="13" t="str">
        <x:v>Screen imminent danger/protected-person issue, then mediate only if eligible</x:v>
      </x:c>
      <x:c r="N223" s="13" t="str">
        <x:v>Threat/harassment example; requires safety screening.</x:v>
      </x:c>
      <x:c r="O223" s="13" t="str"/>
      <x:c r="P223" s="13" t="str">
        <x:v>Paninigaw at pag-amba ng pananakit sa kapitbahay</x:v>
      </x:c>
      <x:c r="Q223" s="13" t="str">
        <x:v>Added to balance 'threats' to 49 examples using the same Justice KP label schema.</x:v>
      </x:c>
      <x:c r="R223" s="13" t="str">
        <x:v>Synthetic row based on category coverage gap from uploaded PDF</x:v>
      </x:c>
    </x:row>
    <x:row r="224" ht="36" customHeight="1">
      <x:c r="A224" s="13" t="str">
        <x:v>SYN-THRT-018</x:v>
      </x:c>
      <x:c r="B224" s="13" t="str">
        <x:v>threats</x:v>
      </x:c>
      <x:c r="C224" s="13" t="str">
        <x:v>Synthetic</x:v>
      </x:c>
      <x:c r="D224" s="13" t="str"/>
      <x:c r="E224" s="13" t="str">
        <x:v>Criminal</x:v>
      </x:c>
      <x:c r="F224" s="13" t="str">
        <x:v>Pagbabanta tungkol sa away sa parking space</x:v>
      </x:c>
      <x:c r="G224" s="13" t="str">
        <x:v>February 27, 2026</x:v>
      </x:c>
      <x:c r="H224" s="13" t="str">
        <x:v>-</x:v>
      </x:c>
      <x:c r="I224" s="13" t="str">
        <x:v>Synthetic example: no weapon or serious medical finding stated; system must still screen severity and immediate danger.</x:v>
      </x:c>
      <x:c r="J224" s="13" t="str">
        <x:v>For Screening</x:v>
      </x:c>
      <x:c r="K224" s="13" t="str">
        <x:v>KP_COVERED_AMICABLE</x:v>
      </x:c>
      <x:c r="L224" s="13" t="str">
        <x:v>Eligible for KP screening with safety check</x:v>
      </x:c>
      <x:c r="M224" s="13" t="str">
        <x:v>Screen imminent danger/protected-person issue, then mediate only if eligible</x:v>
      </x:c>
      <x:c r="N224" s="13" t="str">
        <x:v>Threat/harassment example; requires safety screening.</x:v>
      </x:c>
      <x:c r="O224" s="13" t="str"/>
      <x:c r="P224" s="13" t="str">
        <x:v>Pagbabanta tungkol sa away sa parking space</x:v>
      </x:c>
      <x:c r="Q224" s="13" t="str">
        <x:v>Added to balance 'threats' to 49 examples using the same Justice KP label schema.</x:v>
      </x:c>
      <x:c r="R224" s="13" t="str">
        <x:v>Synthetic row based on category coverage gap from uploaded PDF</x:v>
      </x:c>
    </x:row>
    <x:row r="225" ht="36" customHeight="1">
      <x:c r="A225" s="13" t="str">
        <x:v>SYN-THRT-019</x:v>
      </x:c>
      <x:c r="B225" s="13" t="str">
        <x:v>threats</x:v>
      </x:c>
      <x:c r="C225" s="13" t="str">
        <x:v>Synthetic</x:v>
      </x:c>
      <x:c r="D225" s="13" t="str"/>
      <x:c r="E225" s="13" t="str">
        <x:v>Criminal</x:v>
      </x:c>
      <x:c r="F225" s="13" t="str">
        <x:v>Pagbabanta habang lasing sa labas ng bahay</x:v>
      </x:c>
      <x:c r="G225" s="13" t="str">
        <x:v>March 2, 2026</x:v>
      </x:c>
      <x:c r="H225" s="13" t="str">
        <x:v>-</x:v>
      </x:c>
      <x:c r="I225" s="13" t="str">
        <x:v>Synthetic example: no weapon or serious medical finding stated; system must still screen severity and immediate danger.</x:v>
      </x:c>
      <x:c r="J225" s="13" t="str">
        <x:v>For Screening</x:v>
      </x:c>
      <x:c r="K225" s="13" t="str">
        <x:v>KP_COVERED_AMICABLE</x:v>
      </x:c>
      <x:c r="L225" s="13" t="str">
        <x:v>Eligible for KP screening with safety check</x:v>
      </x:c>
      <x:c r="M225" s="13" t="str">
        <x:v>Screen imminent danger/protected-person issue, then mediate only if eligible</x:v>
      </x:c>
      <x:c r="N225" s="13" t="str">
        <x:v>Threat/harassment example; requires safety screening.</x:v>
      </x:c>
      <x:c r="O225" s="13" t="str"/>
      <x:c r="P225" s="13" t="str">
        <x:v>Pagbabanta habang lasing sa labas ng bahay</x:v>
      </x:c>
      <x:c r="Q225" s="13" t="str">
        <x:v>Added to balance 'threats' to 49 examples using the same Justice KP label schema.</x:v>
      </x:c>
      <x:c r="R225" s="13" t="str">
        <x:v>Synthetic row based on category coverage gap from uploaded PDF</x:v>
      </x:c>
    </x:row>
    <x:row r="226" ht="36" customHeight="1">
      <x:c r="A226" s="13" t="str">
        <x:v>SYN-THRT-020</x:v>
      </x:c>
      <x:c r="B226" s="13" t="str">
        <x:v>threats</x:v>
      </x:c>
      <x:c r="C226" s="13" t="str">
        <x:v>Synthetic</x:v>
      </x:c>
      <x:c r="D226" s="13" t="str"/>
      <x:c r="E226" s="13" t="str">
        <x:v>Criminal</x:v>
      </x:c>
      <x:c r="F226" s="13" t="str">
        <x:v>Pambubully at pananakot sa kapitbahay</x:v>
      </x:c>
      <x:c r="G226" s="13" t="str">
        <x:v>March 5, 2026</x:v>
      </x:c>
      <x:c r="H226" s="13" t="str">
        <x:v>-</x:v>
      </x:c>
      <x:c r="I226" s="13" t="str">
        <x:v>Synthetic example: no weapon or serious medical finding stated; system must still screen severity and immediate danger.</x:v>
      </x:c>
      <x:c r="J226" s="13" t="str">
        <x:v>For Screening</x:v>
      </x:c>
      <x:c r="K226" s="13" t="str">
        <x:v>KP_COVERED_AMICABLE</x:v>
      </x:c>
      <x:c r="L226" s="13" t="str">
        <x:v>Eligible for KP screening with safety check</x:v>
      </x:c>
      <x:c r="M226" s="13" t="str">
        <x:v>Screen imminent danger/protected-person issue, then mediate only if eligible</x:v>
      </x:c>
      <x:c r="N226" s="13" t="str">
        <x:v>Threat/harassment example; requires safety screening.</x:v>
      </x:c>
      <x:c r="O226" s="13" t="str"/>
      <x:c r="P226" s="13" t="str">
        <x:v>Pambubully at pananakot sa kapitbahay</x:v>
      </x:c>
      <x:c r="Q226" s="13" t="str">
        <x:v>Added to balance 'threats' to 49 examples using the same Justice KP label schema.</x:v>
      </x:c>
      <x:c r="R226" s="13" t="str">
        <x:v>Synthetic row based on category coverage gap from uploaded PDF</x:v>
      </x:c>
    </x:row>
    <x:row r="227" ht="36" customHeight="1">
      <x:c r="A227" s="13" t="str">
        <x:v>SYN-THRT-021</x:v>
      </x:c>
      <x:c r="B227" s="13" t="str">
        <x:v>threats</x:v>
      </x:c>
      <x:c r="C227" s="13" t="str">
        <x:v>Synthetic</x:v>
      </x:c>
      <x:c r="D227" s="13" t="str"/>
      <x:c r="E227" s="13" t="str">
        <x:v>Criminal</x:v>
      </x:c>
      <x:c r="F227" s="13" t="str">
        <x:v>Pagbabanta na sisirain ang gate ng kapitbahay</x:v>
      </x:c>
      <x:c r="G227" s="13" t="str">
        <x:v>March 8, 2026</x:v>
      </x:c>
      <x:c r="H227" s="13" t="str">
        <x:v>-</x:v>
      </x:c>
      <x:c r="I227" s="13" t="str">
        <x:v>Synthetic example: no weapon or serious medical finding stated; system must still screen severity and immediate danger.</x:v>
      </x:c>
      <x:c r="J227" s="13" t="str">
        <x:v>For Screening</x:v>
      </x:c>
      <x:c r="K227" s="13" t="str">
        <x:v>KP_COVERED_AMICABLE</x:v>
      </x:c>
      <x:c r="L227" s="13" t="str">
        <x:v>Eligible for KP screening with safety check</x:v>
      </x:c>
      <x:c r="M227" s="13" t="str">
        <x:v>Screen imminent danger/protected-person issue, then mediate only if eligible</x:v>
      </x:c>
      <x:c r="N227" s="13" t="str">
        <x:v>Threat/harassment example; requires safety screening.</x:v>
      </x:c>
      <x:c r="O227" s="13" t="str"/>
      <x:c r="P227" s="13" t="str">
        <x:v>Pagbabanta na sisirain ang gate ng kapitbahay</x:v>
      </x:c>
      <x:c r="Q227" s="13" t="str">
        <x:v>Added to balance 'threats' to 49 examples using the same Justice KP label schema.</x:v>
      </x:c>
      <x:c r="R227" s="13" t="str">
        <x:v>Synthetic row based on category coverage gap from uploaded PDF</x:v>
      </x:c>
    </x:row>
    <x:row r="228" ht="36" customHeight="1">
      <x:c r="A228" s="13" t="str">
        <x:v>SYN-THRT-022</x:v>
      </x:c>
      <x:c r="B228" s="13" t="str">
        <x:v>threats</x:v>
      </x:c>
      <x:c r="C228" s="13" t="str">
        <x:v>Synthetic</x:v>
      </x:c>
      <x:c r="D228" s="13" t="str"/>
      <x:c r="E228" s="13" t="str">
        <x:v>Criminal</x:v>
      </x:c>
      <x:c r="F228" s="13" t="str">
        <x:v>Pag-amba na hahampasin habang nagtatalo sa daanan</x:v>
      </x:c>
      <x:c r="G228" s="13" t="str">
        <x:v>March 11, 2026</x:v>
      </x:c>
      <x:c r="H228" s="13" t="str">
        <x:v>-</x:v>
      </x:c>
      <x:c r="I228" s="13" t="str">
        <x:v>Synthetic example: no weapon or serious medical finding stated; system must still screen severity and immediate danger.</x:v>
      </x:c>
      <x:c r="J228" s="13" t="str">
        <x:v>For Screening</x:v>
      </x:c>
      <x:c r="K228" s="13" t="str">
        <x:v>KP_COVERED_AMICABLE</x:v>
      </x:c>
      <x:c r="L228" s="13" t="str">
        <x:v>Eligible for KP screening with safety check</x:v>
      </x:c>
      <x:c r="M228" s="13" t="str">
        <x:v>Screen imminent danger/protected-person issue, then mediate only if eligible</x:v>
      </x:c>
      <x:c r="N228" s="13" t="str">
        <x:v>Threat/harassment example; requires safety screening.</x:v>
      </x:c>
      <x:c r="O228" s="13" t="str"/>
      <x:c r="P228" s="13" t="str">
        <x:v>Pag-amba na hahampasin habang nagtatalo sa daanan</x:v>
      </x:c>
      <x:c r="Q228" s="13" t="str">
        <x:v>Added to balance 'threats' to 49 examples using the same Justice KP label schema.</x:v>
      </x:c>
      <x:c r="R228" s="13" t="str">
        <x:v>Synthetic row based on category coverage gap from uploaded PDF</x:v>
      </x:c>
    </x:row>
    <x:row r="229" ht="36" customHeight="1">
      <x:c r="A229" s="13" t="str">
        <x:v>SYN-THRT-023</x:v>
      </x:c>
      <x:c r="B229" s="13" t="str">
        <x:v>threats</x:v>
      </x:c>
      <x:c r="C229" s="13" t="str">
        <x:v>Synthetic</x:v>
      </x:c>
      <x:c r="D229" s="13" t="str"/>
      <x:c r="E229" s="13" t="str">
        <x:v>Criminal</x:v>
      </x:c>
      <x:c r="F229" s="13" t="str">
        <x:v>Pananakot sa kapatid tungkol sa gamit na hiniram</x:v>
      </x:c>
      <x:c r="G229" s="13" t="str">
        <x:v>March 14, 2026</x:v>
      </x:c>
      <x:c r="H229" s="13" t="str">
        <x:v>-</x:v>
      </x:c>
      <x:c r="I229" s="13" t="str">
        <x:v>Synthetic example: no weapon or serious medical finding stated; system must still screen severity and immediate danger.</x:v>
      </x:c>
      <x:c r="J229" s="13" t="str">
        <x:v>For Screening</x:v>
      </x:c>
      <x:c r="K229" s="13" t="str">
        <x:v>KP_COVERED_AMICABLE</x:v>
      </x:c>
      <x:c r="L229" s="13" t="str">
        <x:v>Eligible for KP screening with safety check</x:v>
      </x:c>
      <x:c r="M229" s="13" t="str">
        <x:v>Screen imminent danger/protected-person issue, then mediate only if eligible</x:v>
      </x:c>
      <x:c r="N229" s="13" t="str">
        <x:v>Threat/harassment example; requires safety screening.</x:v>
      </x:c>
      <x:c r="O229" s="13" t="str"/>
      <x:c r="P229" s="13" t="str">
        <x:v>Pananakot sa kapatid tungkol sa gamit na hiniram</x:v>
      </x:c>
      <x:c r="Q229" s="13" t="str">
        <x:v>Added to balance 'threats' to 49 examples using the same Justice KP label schema.</x:v>
      </x:c>
      <x:c r="R229" s="13" t="str">
        <x:v>Synthetic row based on category coverage gap from uploaded PDF</x:v>
      </x:c>
    </x:row>
    <x:row r="230" ht="36" customHeight="1">
      <x:c r="A230" s="13" t="str">
        <x:v>SYN-THRT-024</x:v>
      </x:c>
      <x:c r="B230" s="13" t="str">
        <x:v>threats</x:v>
      </x:c>
      <x:c r="C230" s="13" t="str">
        <x:v>Synthetic</x:v>
      </x:c>
      <x:c r="D230" s="13" t="str"/>
      <x:c r="E230" s="13" t="str">
        <x:v>Criminal</x:v>
      </x:c>
      <x:c r="F230" s="13" t="str">
        <x:v>Pagbabanta sa text message matapos ang hindi pagkakasundo</x:v>
      </x:c>
      <x:c r="G230" s="13" t="str">
        <x:v>March 17, 2026</x:v>
      </x:c>
      <x:c r="H230" s="13" t="str">
        <x:v>-</x:v>
      </x:c>
      <x:c r="I230" s="13" t="str">
        <x:v>Synthetic example: no weapon or serious medical finding stated; system must still screen severity and immediate danger.</x:v>
      </x:c>
      <x:c r="J230" s="13" t="str">
        <x:v>For Screening</x:v>
      </x:c>
      <x:c r="K230" s="13" t="str">
        <x:v>KP_COVERED_AMICABLE</x:v>
      </x:c>
      <x:c r="L230" s="13" t="str">
        <x:v>Eligible for KP screening with safety check</x:v>
      </x:c>
      <x:c r="M230" s="13" t="str">
        <x:v>Screen imminent danger/protected-person issue, then mediate only if eligible</x:v>
      </x:c>
      <x:c r="N230" s="13" t="str">
        <x:v>Threat/harassment example; requires safety screening.</x:v>
      </x:c>
      <x:c r="O230" s="13" t="str"/>
      <x:c r="P230" s="13" t="str">
        <x:v>Pagbabanta sa text message matapos ang hindi pagkakasundo</x:v>
      </x:c>
      <x:c r="Q230" s="13" t="str">
        <x:v>Added to balance 'threats' to 49 examples using the same Justice KP label schema.</x:v>
      </x:c>
      <x:c r="R230" s="13" t="str">
        <x:v>Synthetic row based on category coverage gap from uploaded PDF</x:v>
      </x:c>
    </x:row>
    <x:row r="231" ht="36" customHeight="1">
      <x:c r="A231" s="13" t="str">
        <x:v>SYN-THRT-025</x:v>
      </x:c>
      <x:c r="B231" s="13" t="str">
        <x:v>threats</x:v>
      </x:c>
      <x:c r="C231" s="13" t="str">
        <x:v>Synthetic</x:v>
      </x:c>
      <x:c r="D231" s="13" t="str"/>
      <x:c r="E231" s="13" t="str">
        <x:v>Criminal</x:v>
      </x:c>
      <x:c r="F231" s="13" t="str">
        <x:v>Panggugulo at pagbabanta sa harap ng bahay</x:v>
      </x:c>
      <x:c r="G231" s="13" t="str">
        <x:v>March 20, 2026</x:v>
      </x:c>
      <x:c r="H231" s="13" t="str">
        <x:v>-</x:v>
      </x:c>
      <x:c r="I231" s="13" t="str">
        <x:v>Synthetic example: no weapon or serious medical finding stated; system must still screen severity and immediate danger.</x:v>
      </x:c>
      <x:c r="J231" s="13" t="str">
        <x:v>For Screening</x:v>
      </x:c>
      <x:c r="K231" s="13" t="str">
        <x:v>KP_COVERED_AMICABLE</x:v>
      </x:c>
      <x:c r="L231" s="13" t="str">
        <x:v>Eligible for KP screening with safety check</x:v>
      </x:c>
      <x:c r="M231" s="13" t="str">
        <x:v>Screen imminent danger/protected-person issue, then mediate only if eligible</x:v>
      </x:c>
      <x:c r="N231" s="13" t="str">
        <x:v>Threat/harassment example; requires safety screening.</x:v>
      </x:c>
      <x:c r="O231" s="13" t="str"/>
      <x:c r="P231" s="13" t="str">
        <x:v>Panggugulo at pagbabanta sa harap ng bahay</x:v>
      </x:c>
      <x:c r="Q231" s="13" t="str">
        <x:v>Added to balance 'threats' to 49 examples using the same Justice KP label schema.</x:v>
      </x:c>
      <x:c r="R231" s="13" t="str">
        <x:v>Synthetic row based on category coverage gap from uploaded PDF</x:v>
      </x:c>
    </x:row>
    <x:row r="232" ht="36" customHeight="1">
      <x:c r="A232" s="13" t="str">
        <x:v>SYN-THRT-026</x:v>
      </x:c>
      <x:c r="B232" s="13" t="str">
        <x:v>threats</x:v>
      </x:c>
      <x:c r="C232" s="13" t="str">
        <x:v>Synthetic</x:v>
      </x:c>
      <x:c r="D232" s="13" t="str"/>
      <x:c r="E232" s="13" t="str">
        <x:v>Criminal</x:v>
      </x:c>
      <x:c r="F232" s="13" t="str">
        <x:v>Pagbabanta na ipapahiya sa social media kung hindi magbabayad</x:v>
      </x:c>
      <x:c r="G232" s="13" t="str">
        <x:v>March 23, 2026</x:v>
      </x:c>
      <x:c r="H232" s="13" t="str">
        <x:v>-</x:v>
      </x:c>
      <x:c r="I232" s="13" t="str">
        <x:v>Synthetic example: no weapon or serious medical finding stated; system must still screen severity and immediate danger.</x:v>
      </x:c>
      <x:c r="J232" s="13" t="str">
        <x:v>For Screening</x:v>
      </x:c>
      <x:c r="K232" s="13" t="str">
        <x:v>KP_COVERED_AMICABLE</x:v>
      </x:c>
      <x:c r="L232" s="13" t="str">
        <x:v>Eligible for KP screening with safety check</x:v>
      </x:c>
      <x:c r="M232" s="13" t="str">
        <x:v>Screen imminent danger/protected-person issue, then mediate only if eligible</x:v>
      </x:c>
      <x:c r="N232" s="13" t="str">
        <x:v>Threat/harassment example; requires safety screening.</x:v>
      </x:c>
      <x:c r="O232" s="13" t="str"/>
      <x:c r="P232" s="13" t="str">
        <x:v>Pagbabanta na ipapahiya sa social media kung hindi magbabayad</x:v>
      </x:c>
      <x:c r="Q232" s="13" t="str">
        <x:v>Added to balance 'threats' to 49 examples using the same Justice KP label schema.</x:v>
      </x:c>
      <x:c r="R232" s="13" t="str">
        <x:v>Synthetic row based on category coverage gap from uploaded PDF</x:v>
      </x:c>
    </x:row>
    <x:row r="233" ht="36" customHeight="1">
      <x:c r="A233" s="13" t="str">
        <x:v>SYN-THRT-027</x:v>
      </x:c>
      <x:c r="B233" s="13" t="str">
        <x:v>threats</x:v>
      </x:c>
      <x:c r="C233" s="13" t="str">
        <x:v>Synthetic</x:v>
      </x:c>
      <x:c r="D233" s="13" t="str"/>
      <x:c r="E233" s="13" t="str">
        <x:v>Criminal</x:v>
      </x:c>
      <x:c r="F233" s="13" t="str">
        <x:v>Paninigaw at pag-amba ng pananakit sa kapitbahay</x:v>
      </x:c>
      <x:c r="G233" s="13" t="str">
        <x:v>March 26, 2026</x:v>
      </x:c>
      <x:c r="H233" s="13" t="str">
        <x:v>-</x:v>
      </x:c>
      <x:c r="I233" s="13" t="str">
        <x:v>Synthetic example: no weapon or serious medical finding stated; system must still screen severity and immediate danger.</x:v>
      </x:c>
      <x:c r="J233" s="13" t="str">
        <x:v>For Screening</x:v>
      </x:c>
      <x:c r="K233" s="13" t="str">
        <x:v>KP_COVERED_AMICABLE</x:v>
      </x:c>
      <x:c r="L233" s="13" t="str">
        <x:v>Eligible for KP screening with safety check</x:v>
      </x:c>
      <x:c r="M233" s="13" t="str">
        <x:v>Screen imminent danger/protected-person issue, then mediate only if eligible</x:v>
      </x:c>
      <x:c r="N233" s="13" t="str">
        <x:v>Threat/harassment example; requires safety screening.</x:v>
      </x:c>
      <x:c r="O233" s="13" t="str"/>
      <x:c r="P233" s="13" t="str">
        <x:v>Paninigaw at pag-amba ng pananakit sa kapitbahay</x:v>
      </x:c>
      <x:c r="Q233" s="13" t="str">
        <x:v>Added to balance 'threats' to 49 examples using the same Justice KP label schema.</x:v>
      </x:c>
      <x:c r="R233" s="13" t="str">
        <x:v>Synthetic row based on category coverage gap from uploaded PDF</x:v>
      </x:c>
    </x:row>
    <x:row r="234" ht="36" customHeight="1">
      <x:c r="A234" s="13" t="str">
        <x:v>SYN-THRT-028</x:v>
      </x:c>
      <x:c r="B234" s="13" t="str">
        <x:v>threats</x:v>
      </x:c>
      <x:c r="C234" s="13" t="str">
        <x:v>Synthetic</x:v>
      </x:c>
      <x:c r="D234" s="13" t="str"/>
      <x:c r="E234" s="13" t="str">
        <x:v>Criminal</x:v>
      </x:c>
      <x:c r="F234" s="13" t="str">
        <x:v>Pagbabanta tungkol sa away sa parking space</x:v>
      </x:c>
      <x:c r="G234" s="13" t="str">
        <x:v>March 29, 2026</x:v>
      </x:c>
      <x:c r="H234" s="13" t="str">
        <x:v>-</x:v>
      </x:c>
      <x:c r="I234" s="13" t="str">
        <x:v>Synthetic example: no weapon or serious medical finding stated; system must still screen severity and immediate danger.</x:v>
      </x:c>
      <x:c r="J234" s="13" t="str">
        <x:v>For Screening</x:v>
      </x:c>
      <x:c r="K234" s="13" t="str">
        <x:v>KP_COVERED_AMICABLE</x:v>
      </x:c>
      <x:c r="L234" s="13" t="str">
        <x:v>Eligible for KP screening with safety check</x:v>
      </x:c>
      <x:c r="M234" s="13" t="str">
        <x:v>Screen imminent danger/protected-person issue, then mediate only if eligible</x:v>
      </x:c>
      <x:c r="N234" s="13" t="str">
        <x:v>Threat/harassment example; requires safety screening.</x:v>
      </x:c>
      <x:c r="O234" s="13" t="str"/>
      <x:c r="P234" s="13" t="str">
        <x:v>Pagbabanta tungkol sa away sa parking space</x:v>
      </x:c>
      <x:c r="Q234" s="13" t="str">
        <x:v>Added to balance 'threats' to 49 examples using the same Justice KP label schema.</x:v>
      </x:c>
      <x:c r="R234" s="13" t="str">
        <x:v>Synthetic row based on category coverage gap from uploaded PDF</x:v>
      </x:c>
    </x:row>
    <x:row r="235" ht="36" customHeight="1">
      <x:c r="A235" s="13" t="str">
        <x:v>SYN-THRT-029</x:v>
      </x:c>
      <x:c r="B235" s="13" t="str">
        <x:v>threats</x:v>
      </x:c>
      <x:c r="C235" s="13" t="str">
        <x:v>Synthetic</x:v>
      </x:c>
      <x:c r="D235" s="13" t="str"/>
      <x:c r="E235" s="13" t="str">
        <x:v>Criminal</x:v>
      </x:c>
      <x:c r="F235" s="13" t="str">
        <x:v>Pagbabanta habang lasing sa labas ng bahay</x:v>
      </x:c>
      <x:c r="G235" s="13" t="str">
        <x:v>April 1, 2026</x:v>
      </x:c>
      <x:c r="H235" s="13" t="str">
        <x:v>-</x:v>
      </x:c>
      <x:c r="I235" s="13" t="str">
        <x:v>Synthetic example: no weapon or serious medical finding stated; system must still screen severity and immediate danger.</x:v>
      </x:c>
      <x:c r="J235" s="13" t="str">
        <x:v>For Screening</x:v>
      </x:c>
      <x:c r="K235" s="13" t="str">
        <x:v>KP_COVERED_AMICABLE</x:v>
      </x:c>
      <x:c r="L235" s="13" t="str">
        <x:v>Eligible for KP screening with safety check</x:v>
      </x:c>
      <x:c r="M235" s="13" t="str">
        <x:v>Screen imminent danger/protected-person issue, then mediate only if eligible</x:v>
      </x:c>
      <x:c r="N235" s="13" t="str">
        <x:v>Threat/harassment example; requires safety screening.</x:v>
      </x:c>
      <x:c r="O235" s="13" t="str"/>
      <x:c r="P235" s="13" t="str">
        <x:v>Pagbabanta habang lasing sa labas ng bahay</x:v>
      </x:c>
      <x:c r="Q235" s="13" t="str">
        <x:v>Added to balance 'threats' to 49 examples using the same Justice KP label schema.</x:v>
      </x:c>
      <x:c r="R235" s="13" t="str">
        <x:v>Synthetic row based on category coverage gap from uploaded PDF</x:v>
      </x:c>
    </x:row>
    <x:row r="236" ht="36" customHeight="1">
      <x:c r="A236" s="13" t="str">
        <x:v>SYN-THRT-030</x:v>
      </x:c>
      <x:c r="B236" s="13" t="str">
        <x:v>threats</x:v>
      </x:c>
      <x:c r="C236" s="13" t="str">
        <x:v>Synthetic</x:v>
      </x:c>
      <x:c r="D236" s="13" t="str"/>
      <x:c r="E236" s="13" t="str">
        <x:v>Criminal</x:v>
      </x:c>
      <x:c r="F236" s="13" t="str">
        <x:v>Pambubully at pananakot sa kapitbahay</x:v>
      </x:c>
      <x:c r="G236" s="13" t="str">
        <x:v>April 4, 2026</x:v>
      </x:c>
      <x:c r="H236" s="13" t="str">
        <x:v>-</x:v>
      </x:c>
      <x:c r="I236" s="13" t="str">
        <x:v>Synthetic example: no weapon or serious medical finding stated; system must still screen severity and immediate danger.</x:v>
      </x:c>
      <x:c r="J236" s="13" t="str">
        <x:v>For Screening</x:v>
      </x:c>
      <x:c r="K236" s="13" t="str">
        <x:v>KP_COVERED_AMICABLE</x:v>
      </x:c>
      <x:c r="L236" s="13" t="str">
        <x:v>Eligible for KP screening with safety check</x:v>
      </x:c>
      <x:c r="M236" s="13" t="str">
        <x:v>Screen imminent danger/protected-person issue, then mediate only if eligible</x:v>
      </x:c>
      <x:c r="N236" s="13" t="str">
        <x:v>Threat/harassment example; requires safety screening.</x:v>
      </x:c>
      <x:c r="O236" s="13" t="str"/>
      <x:c r="P236" s="13" t="str">
        <x:v>Pambubully at pananakot sa kapitbahay</x:v>
      </x:c>
      <x:c r="Q236" s="13" t="str">
        <x:v>Added to balance 'threats' to 49 examples using the same Justice KP label schema.</x:v>
      </x:c>
      <x:c r="R236" s="13" t="str">
        <x:v>Synthetic row based on category coverage gap from uploaded PDF</x:v>
      </x:c>
    </x:row>
    <x:row r="237" ht="36" customHeight="1">
      <x:c r="A237" s="13" t="str">
        <x:v>SYN-THRT-031</x:v>
      </x:c>
      <x:c r="B237" s="13" t="str">
        <x:v>threats</x:v>
      </x:c>
      <x:c r="C237" s="13" t="str">
        <x:v>Synthetic</x:v>
      </x:c>
      <x:c r="D237" s="13" t="str"/>
      <x:c r="E237" s="13" t="str">
        <x:v>Criminal</x:v>
      </x:c>
      <x:c r="F237" s="13" t="str">
        <x:v>Pagbabanta na sisirain ang gate ng kapitbahay</x:v>
      </x:c>
      <x:c r="G237" s="13" t="str">
        <x:v>April 7, 2026</x:v>
      </x:c>
      <x:c r="H237" s="13" t="str">
        <x:v>-</x:v>
      </x:c>
      <x:c r="I237" s="13" t="str">
        <x:v>Synthetic example: no weapon or serious medical finding stated; system must still screen severity and immediate danger.</x:v>
      </x:c>
      <x:c r="J237" s="13" t="str">
        <x:v>For Screening</x:v>
      </x:c>
      <x:c r="K237" s="13" t="str">
        <x:v>KP_COVERED_AMICABLE</x:v>
      </x:c>
      <x:c r="L237" s="13" t="str">
        <x:v>Eligible for KP screening with safety check</x:v>
      </x:c>
      <x:c r="M237" s="13" t="str">
        <x:v>Screen imminent danger/protected-person issue, then mediate only if eligible</x:v>
      </x:c>
      <x:c r="N237" s="13" t="str">
        <x:v>Threat/harassment example; requires safety screening.</x:v>
      </x:c>
      <x:c r="O237" s="13" t="str"/>
      <x:c r="P237" s="13" t="str">
        <x:v>Pagbabanta na sisirain ang gate ng kapitbahay</x:v>
      </x:c>
      <x:c r="Q237" s="13" t="str">
        <x:v>Added to balance 'threats' to 49 examples using the same Justice KP label schema.</x:v>
      </x:c>
      <x:c r="R237" s="13" t="str">
        <x:v>Synthetic row based on category coverage gap from uploaded PDF</x:v>
      </x:c>
    </x:row>
    <x:row r="238" ht="36" customHeight="1">
      <x:c r="A238" s="13" t="str">
        <x:v>SYN-THRT-032</x:v>
      </x:c>
      <x:c r="B238" s="13" t="str">
        <x:v>threats</x:v>
      </x:c>
      <x:c r="C238" s="13" t="str">
        <x:v>Synthetic</x:v>
      </x:c>
      <x:c r="D238" s="13" t="str"/>
      <x:c r="E238" s="13" t="str">
        <x:v>Criminal</x:v>
      </x:c>
      <x:c r="F238" s="13" t="str">
        <x:v>Pag-amba na hahampasin habang nagtatalo sa daanan</x:v>
      </x:c>
      <x:c r="G238" s="13" t="str">
        <x:v>April 10, 2026</x:v>
      </x:c>
      <x:c r="H238" s="13" t="str">
        <x:v>-</x:v>
      </x:c>
      <x:c r="I238" s="13" t="str">
        <x:v>Synthetic example: no weapon or serious medical finding stated; system must still screen severity and immediate danger.</x:v>
      </x:c>
      <x:c r="J238" s="13" t="str">
        <x:v>For Screening</x:v>
      </x:c>
      <x:c r="K238" s="13" t="str">
        <x:v>KP_COVERED_AMICABLE</x:v>
      </x:c>
      <x:c r="L238" s="13" t="str">
        <x:v>Eligible for KP screening with safety check</x:v>
      </x:c>
      <x:c r="M238" s="13" t="str">
        <x:v>Screen imminent danger/protected-person issue, then mediate only if eligible</x:v>
      </x:c>
      <x:c r="N238" s="13" t="str">
        <x:v>Threat/harassment example; requires safety screening.</x:v>
      </x:c>
      <x:c r="O238" s="13" t="str"/>
      <x:c r="P238" s="13" t="str">
        <x:v>Pag-amba na hahampasin habang nagtatalo sa daanan</x:v>
      </x:c>
      <x:c r="Q238" s="13" t="str">
        <x:v>Added to balance 'threats' to 49 examples using the same Justice KP label schema.</x:v>
      </x:c>
      <x:c r="R238" s="13" t="str">
        <x:v>Synthetic row based on category coverage gap from uploaded PDF</x:v>
      </x:c>
    </x:row>
    <x:row r="239" ht="36" customHeight="1">
      <x:c r="A239" s="13" t="str">
        <x:v>SYN-THRT-033</x:v>
      </x:c>
      <x:c r="B239" s="13" t="str">
        <x:v>threats</x:v>
      </x:c>
      <x:c r="C239" s="13" t="str">
        <x:v>Synthetic</x:v>
      </x:c>
      <x:c r="D239" s="13" t="str"/>
      <x:c r="E239" s="13" t="str">
        <x:v>Criminal</x:v>
      </x:c>
      <x:c r="F239" s="13" t="str">
        <x:v>Pananakot sa kapatid tungkol sa gamit na hiniram</x:v>
      </x:c>
      <x:c r="G239" s="13" t="str">
        <x:v>April 13, 2026</x:v>
      </x:c>
      <x:c r="H239" s="13" t="str">
        <x:v>-</x:v>
      </x:c>
      <x:c r="I239" s="13" t="str">
        <x:v>Synthetic example: no weapon or serious medical finding stated; system must still screen severity and immediate danger.</x:v>
      </x:c>
      <x:c r="J239" s="13" t="str">
        <x:v>For Screening</x:v>
      </x:c>
      <x:c r="K239" s="13" t="str">
        <x:v>KP_COVERED_AMICABLE</x:v>
      </x:c>
      <x:c r="L239" s="13" t="str">
        <x:v>Eligible for KP screening with safety check</x:v>
      </x:c>
      <x:c r="M239" s="13" t="str">
        <x:v>Screen imminent danger/protected-person issue, then mediate only if eligible</x:v>
      </x:c>
      <x:c r="N239" s="13" t="str">
        <x:v>Threat/harassment example; requires safety screening.</x:v>
      </x:c>
      <x:c r="O239" s="13" t="str"/>
      <x:c r="P239" s="13" t="str">
        <x:v>Pananakot sa kapatid tungkol sa gamit na hiniram</x:v>
      </x:c>
      <x:c r="Q239" s="13" t="str">
        <x:v>Added to balance 'threats' to 49 examples using the same Justice KP label schema.</x:v>
      </x:c>
      <x:c r="R239" s="13" t="str">
        <x:v>Synthetic row based on category coverage gap from uploaded PDF</x:v>
      </x:c>
    </x:row>
    <x:row r="240" ht="36" customHeight="1">
      <x:c r="A240" s="13" t="str">
        <x:v>SYN-THRT-034</x:v>
      </x:c>
      <x:c r="B240" s="13" t="str">
        <x:v>threats</x:v>
      </x:c>
      <x:c r="C240" s="13" t="str">
        <x:v>Synthetic</x:v>
      </x:c>
      <x:c r="D240" s="13" t="str"/>
      <x:c r="E240" s="13" t="str">
        <x:v>Criminal</x:v>
      </x:c>
      <x:c r="F240" s="13" t="str">
        <x:v>Pagbabanta sa text message matapos ang hindi pagkakasundo</x:v>
      </x:c>
      <x:c r="G240" s="13" t="str">
        <x:v>April 16, 2026</x:v>
      </x:c>
      <x:c r="H240" s="13" t="str">
        <x:v>-</x:v>
      </x:c>
      <x:c r="I240" s="13" t="str">
        <x:v>Synthetic example: no weapon or serious medical finding stated; system must still screen severity and immediate danger.</x:v>
      </x:c>
      <x:c r="J240" s="13" t="str">
        <x:v>For Screening</x:v>
      </x:c>
      <x:c r="K240" s="13" t="str">
        <x:v>KP_COVERED_AMICABLE</x:v>
      </x:c>
      <x:c r="L240" s="13" t="str">
        <x:v>Eligible for KP screening with safety check</x:v>
      </x:c>
      <x:c r="M240" s="13" t="str">
        <x:v>Screen imminent danger/protected-person issue, then mediate only if eligible</x:v>
      </x:c>
      <x:c r="N240" s="13" t="str">
        <x:v>Threat/harassment example; requires safety screening.</x:v>
      </x:c>
      <x:c r="O240" s="13" t="str"/>
      <x:c r="P240" s="13" t="str">
        <x:v>Pagbabanta sa text message matapos ang hindi pagkakasundo</x:v>
      </x:c>
      <x:c r="Q240" s="13" t="str">
        <x:v>Added to balance 'threats' to 49 examples using the same Justice KP label schema.</x:v>
      </x:c>
      <x:c r="R240" s="13" t="str">
        <x:v>Synthetic row based on category coverage gap from uploaded PDF</x:v>
      </x:c>
    </x:row>
    <x:row r="241" ht="36" customHeight="1">
      <x:c r="A241" s="13" t="str">
        <x:v>SYN-THRT-035</x:v>
      </x:c>
      <x:c r="B241" s="13" t="str">
        <x:v>threats</x:v>
      </x:c>
      <x:c r="C241" s="13" t="str">
        <x:v>Synthetic</x:v>
      </x:c>
      <x:c r="D241" s="13" t="str"/>
      <x:c r="E241" s="13" t="str">
        <x:v>Criminal</x:v>
      </x:c>
      <x:c r="F241" s="13" t="str">
        <x:v>Panggugulo at pagbabanta sa harap ng bahay</x:v>
      </x:c>
      <x:c r="G241" s="13" t="str">
        <x:v>April 19, 2026</x:v>
      </x:c>
      <x:c r="H241" s="13" t="str">
        <x:v>-</x:v>
      </x:c>
      <x:c r="I241" s="13" t="str">
        <x:v>Synthetic example: no weapon or serious medical finding stated; system must still screen severity and immediate danger.</x:v>
      </x:c>
      <x:c r="J241" s="13" t="str">
        <x:v>For Screening</x:v>
      </x:c>
      <x:c r="K241" s="13" t="str">
        <x:v>KP_COVERED_AMICABLE</x:v>
      </x:c>
      <x:c r="L241" s="13" t="str">
        <x:v>Eligible for KP screening with safety check</x:v>
      </x:c>
      <x:c r="M241" s="13" t="str">
        <x:v>Screen imminent danger/protected-person issue, then mediate only if eligible</x:v>
      </x:c>
      <x:c r="N241" s="13" t="str">
        <x:v>Threat/harassment example; requires safety screening.</x:v>
      </x:c>
      <x:c r="O241" s="13" t="str"/>
      <x:c r="P241" s="13" t="str">
        <x:v>Panggugulo at pagbabanta sa harap ng bahay</x:v>
      </x:c>
      <x:c r="Q241" s="13" t="str">
        <x:v>Added to balance 'threats' to 49 examples using the same Justice KP label schema.</x:v>
      </x:c>
      <x:c r="R241" s="13" t="str">
        <x:v>Synthetic row based on category coverage gap from uploaded PDF</x:v>
      </x:c>
    </x:row>
    <x:row r="242" ht="36" customHeight="1">
      <x:c r="A242" s="13" t="str">
        <x:v>SYN-THRT-036</x:v>
      </x:c>
      <x:c r="B242" s="13" t="str">
        <x:v>threats</x:v>
      </x:c>
      <x:c r="C242" s="13" t="str">
        <x:v>Synthetic</x:v>
      </x:c>
      <x:c r="D242" s="13" t="str"/>
      <x:c r="E242" s="13" t="str">
        <x:v>Criminal</x:v>
      </x:c>
      <x:c r="F242" s="13" t="str">
        <x:v>Pagbabanta na ipapahiya sa social media kung hindi magbabayad</x:v>
      </x:c>
      <x:c r="G242" s="13" t="str">
        <x:v>April 22, 2026</x:v>
      </x:c>
      <x:c r="H242" s="13" t="str">
        <x:v>-</x:v>
      </x:c>
      <x:c r="I242" s="13" t="str">
        <x:v>Synthetic example: no weapon or serious medical finding stated; system must still screen severity and immediate danger.</x:v>
      </x:c>
      <x:c r="J242" s="13" t="str">
        <x:v>For Screening</x:v>
      </x:c>
      <x:c r="K242" s="13" t="str">
        <x:v>KP_COVERED_AMICABLE</x:v>
      </x:c>
      <x:c r="L242" s="13" t="str">
        <x:v>Eligible for KP screening with safety check</x:v>
      </x:c>
      <x:c r="M242" s="13" t="str">
        <x:v>Screen imminent danger/protected-person issue, then mediate only if eligible</x:v>
      </x:c>
      <x:c r="N242" s="13" t="str">
        <x:v>Threat/harassment example; requires safety screening.</x:v>
      </x:c>
      <x:c r="O242" s="13" t="str"/>
      <x:c r="P242" s="13" t="str">
        <x:v>Pagbabanta na ipapahiya sa social media kung hindi magbabayad</x:v>
      </x:c>
      <x:c r="Q242" s="13" t="str">
        <x:v>Added to balance 'threats' to 49 examples using the same Justice KP label schema.</x:v>
      </x:c>
      <x:c r="R242" s="13" t="str">
        <x:v>Synthetic row based on category coverage gap from uploaded PDF</x:v>
      </x:c>
    </x:row>
    <x:row r="243" ht="36" customHeight="1">
      <x:c r="A243" s="13" t="str">
        <x:v>SYN-THRT-037</x:v>
      </x:c>
      <x:c r="B243" s="13" t="str">
        <x:v>threats</x:v>
      </x:c>
      <x:c r="C243" s="13" t="str">
        <x:v>Synthetic</x:v>
      </x:c>
      <x:c r="D243" s="13" t="str"/>
      <x:c r="E243" s="13" t="str">
        <x:v>Criminal</x:v>
      </x:c>
      <x:c r="F243" s="13" t="str">
        <x:v>Paninigaw at pag-amba ng pananakit sa kapitbahay</x:v>
      </x:c>
      <x:c r="G243" s="13" t="str">
        <x:v>April 25, 2026</x:v>
      </x:c>
      <x:c r="H243" s="13" t="str">
        <x:v>-</x:v>
      </x:c>
      <x:c r="I243" s="13" t="str">
        <x:v>Synthetic example: no weapon or serious medical finding stated; system must still screen severity and immediate danger.</x:v>
      </x:c>
      <x:c r="J243" s="13" t="str">
        <x:v>For Screening</x:v>
      </x:c>
      <x:c r="K243" s="13" t="str">
        <x:v>KP_COVERED_AMICABLE</x:v>
      </x:c>
      <x:c r="L243" s="13" t="str">
        <x:v>Eligible for KP screening with safety check</x:v>
      </x:c>
      <x:c r="M243" s="13" t="str">
        <x:v>Screen imminent danger/protected-person issue, then mediate only if eligible</x:v>
      </x:c>
      <x:c r="N243" s="13" t="str">
        <x:v>Threat/harassment example; requires safety screening.</x:v>
      </x:c>
      <x:c r="O243" s="13" t="str"/>
      <x:c r="P243" s="13" t="str">
        <x:v>Paninigaw at pag-amba ng pananakit sa kapitbahay</x:v>
      </x:c>
      <x:c r="Q243" s="13" t="str">
        <x:v>Added to balance 'threats' to 49 examples using the same Justice KP label schema.</x:v>
      </x:c>
      <x:c r="R243" s="13" t="str">
        <x:v>Synthetic row based on category coverage gap from uploaded PDF</x:v>
      </x:c>
    </x:row>
    <x:row r="244" ht="36" customHeight="1">
      <x:c r="A244" s="13" t="str">
        <x:v>SYN-THRT-038</x:v>
      </x:c>
      <x:c r="B244" s="13" t="str">
        <x:v>threats</x:v>
      </x:c>
      <x:c r="C244" s="13" t="str">
        <x:v>Synthetic</x:v>
      </x:c>
      <x:c r="D244" s="13" t="str"/>
      <x:c r="E244" s="13" t="str">
        <x:v>Criminal</x:v>
      </x:c>
      <x:c r="F244" s="13" t="str">
        <x:v>Pagbabanta tungkol sa away sa parking space</x:v>
      </x:c>
      <x:c r="G244" s="13" t="str">
        <x:v>April 28, 2026</x:v>
      </x:c>
      <x:c r="H244" s="13" t="str">
        <x:v>-</x:v>
      </x:c>
      <x:c r="I244" s="13" t="str">
        <x:v>Synthetic example: no weapon or serious medical finding stated; system must still screen severity and immediate danger.</x:v>
      </x:c>
      <x:c r="J244" s="13" t="str">
        <x:v>For Screening</x:v>
      </x:c>
      <x:c r="K244" s="13" t="str">
        <x:v>KP_COVERED_AMICABLE</x:v>
      </x:c>
      <x:c r="L244" s="13" t="str">
        <x:v>Eligible for KP screening with safety check</x:v>
      </x:c>
      <x:c r="M244" s="13" t="str">
        <x:v>Screen imminent danger/protected-person issue, then mediate only if eligible</x:v>
      </x:c>
      <x:c r="N244" s="13" t="str">
        <x:v>Threat/harassment example; requires safety screening.</x:v>
      </x:c>
      <x:c r="O244" s="13" t="str"/>
      <x:c r="P244" s="13" t="str">
        <x:v>Pagbabanta tungkol sa away sa parking space</x:v>
      </x:c>
      <x:c r="Q244" s="13" t="str">
        <x:v>Added to balance 'threats' to 49 examples using the same Justice KP label schema.</x:v>
      </x:c>
      <x:c r="R244" s="13" t="str">
        <x:v>Synthetic row based on category coverage gap from uploaded PDF</x:v>
      </x:c>
    </x:row>
    <x:row r="245" ht="36" customHeight="1">
      <x:c r="A245" s="13" t="str">
        <x:v>SYN-THRT-039</x:v>
      </x:c>
      <x:c r="B245" s="13" t="str">
        <x:v>threats</x:v>
      </x:c>
      <x:c r="C245" s="13" t="str">
        <x:v>Synthetic</x:v>
      </x:c>
      <x:c r="D245" s="13" t="str"/>
      <x:c r="E245" s="13" t="str">
        <x:v>Criminal</x:v>
      </x:c>
      <x:c r="F245" s="13" t="str">
        <x:v>Pagbabanta habang lasing sa labas ng bahay</x:v>
      </x:c>
      <x:c r="G245" s="13" t="str">
        <x:v>May 1, 2026</x:v>
      </x:c>
      <x:c r="H245" s="13" t="str">
        <x:v>-</x:v>
      </x:c>
      <x:c r="I245" s="13" t="str">
        <x:v>Synthetic example: no weapon or serious medical finding stated; system must still screen severity and immediate danger.</x:v>
      </x:c>
      <x:c r="J245" s="13" t="str">
        <x:v>For Screening</x:v>
      </x:c>
      <x:c r="K245" s="13" t="str">
        <x:v>KP_COVERED_AMICABLE</x:v>
      </x:c>
      <x:c r="L245" s="13" t="str">
        <x:v>Eligible for KP screening with safety check</x:v>
      </x:c>
      <x:c r="M245" s="13" t="str">
        <x:v>Screen imminent danger/protected-person issue, then mediate only if eligible</x:v>
      </x:c>
      <x:c r="N245" s="13" t="str">
        <x:v>Threat/harassment example; requires safety screening.</x:v>
      </x:c>
      <x:c r="O245" s="13" t="str"/>
      <x:c r="P245" s="13" t="str">
        <x:v>Pagbabanta habang lasing sa labas ng bahay</x:v>
      </x:c>
      <x:c r="Q245" s="13" t="str">
        <x:v>Added to balance 'threats' to 49 examples using the same Justice KP label schema.</x:v>
      </x:c>
      <x:c r="R245" s="13" t="str">
        <x:v>Synthetic row based on category coverage gap from uploaded PDF</x:v>
      </x:c>
    </x:row>
    <x:row r="246" ht="36" customHeight="1">
      <x:c r="A246" s="13" t="str">
        <x:v>SYN-THRT-040</x:v>
      </x:c>
      <x:c r="B246" s="13" t="str">
        <x:v>threats</x:v>
      </x:c>
      <x:c r="C246" s="13" t="str">
        <x:v>Synthetic</x:v>
      </x:c>
      <x:c r="D246" s="13" t="str"/>
      <x:c r="E246" s="13" t="str">
        <x:v>Criminal</x:v>
      </x:c>
      <x:c r="F246" s="13" t="str">
        <x:v>Pambubully at pananakot sa kapitbahay</x:v>
      </x:c>
      <x:c r="G246" s="13" t="str">
        <x:v>May 4, 2026</x:v>
      </x:c>
      <x:c r="H246" s="13" t="str">
        <x:v>-</x:v>
      </x:c>
      <x:c r="I246" s="13" t="str">
        <x:v>Synthetic example: no weapon or serious medical finding stated; system must still screen severity and immediate danger.</x:v>
      </x:c>
      <x:c r="J246" s="13" t="str">
        <x:v>For Screening</x:v>
      </x:c>
      <x:c r="K246" s="13" t="str">
        <x:v>KP_COVERED_AMICABLE</x:v>
      </x:c>
      <x:c r="L246" s="13" t="str">
        <x:v>Eligible for KP screening with safety check</x:v>
      </x:c>
      <x:c r="M246" s="13" t="str">
        <x:v>Screen imminent danger/protected-person issue, then mediate only if eligible</x:v>
      </x:c>
      <x:c r="N246" s="13" t="str">
        <x:v>Threat/harassment example; requires safety screening.</x:v>
      </x:c>
      <x:c r="O246" s="13" t="str"/>
      <x:c r="P246" s="13" t="str">
        <x:v>Pambubully at pananakot sa kapitbahay</x:v>
      </x:c>
      <x:c r="Q246" s="13" t="str">
        <x:v>Added to balance 'threats' to 49 examples using the same Justice KP label schema.</x:v>
      </x:c>
      <x:c r="R246" s="13" t="str">
        <x:v>Synthetic row based on category coverage gap from uploaded PDF</x:v>
      </x:c>
    </x:row>
    <x:row r="247" ht="36" customHeight="1">
      <x:c r="A247" s="13" t="str">
        <x:v>KP-25-017-PSWT</x:v>
      </x:c>
      <x:c r="B247" s="13" t="str">
        <x:v>VAWC/child abuse</x:v>
      </x:c>
      <x:c r="C247" s="13" t="str">
        <x:v>Real PDF</x:v>
      </x:c>
      <x:c r="D247" s="13" t="str">
        <x:v>KP-25-017-PSWT</x:v>
      </x:c>
      <x:c r="E247" s="13" t="str">
        <x:v>Criminal</x:v>
      </x:c>
      <x:c r="F247" s="13" t="str">
        <x:v>Pangmomolestiya</x:v>
      </x:c>
      <x:c r="G247" s="13" t="str">
        <x:v>February 3, 2025</x:v>
      </x:c>
      <x:c r="H247" s="13" t="str">
        <x:v>-</x:v>
      </x:c>
      <x:c r="I247" s="13" t="str">
        <x:v>Nagkaroon ng paghaharap subalit walang pagkakasundo. At ang maysumbong ay hindi na bumalik.</x:v>
      </x:c>
      <x:c r="J247" s="13" t="str">
        <x:v>Endorsed</x:v>
      </x:c>
      <x:c r="K247" s="13" t="str">
        <x:v>REFER_VAWC_CHILD_PROTECTION</x:v>
      </x:c>
      <x:c r="L247" s="13" t="str">
        <x:v>Not KP; mandatory safety referral screening</x:v>
      </x:c>
      <x:c r="M247" s="13" t="str">
        <x:v>Refer to appropriate authority / protection desk; do not mediate as ordinary KP case</x:v>
      </x:c>
      <x:c r="N247" s="13" t="str">
        <x:v>Nature indicates child/sexual-protection screening; refer for safety/legal assessment.</x:v>
      </x:c>
      <x:c r="O247" s="13" t="str"/>
      <x:c r="P247" s="13" t="str">
        <x:v>Pangmomolestiya</x:v>
      </x:c>
      <x:c r="Q247" s="13" t="str"/>
      <x:c r="R247" s="13" t="str">
        <x:v>KP CASE PSWT - Sheet1 - KP CASE PSWT - Sheet1.pdf</x:v>
      </x:c>
    </x:row>
    <x:row r="248" ht="36" customHeight="1">
      <x:c r="A248" s="13" t="str">
        <x:v>KP-25-021-PSWT</x:v>
      </x:c>
      <x:c r="B248" s="13" t="str">
        <x:v>VAWC/child abuse</x:v>
      </x:c>
      <x:c r="C248" s="13" t="str">
        <x:v>Real PDF</x:v>
      </x:c>
      <x:c r="D248" s="13" t="str">
        <x:v>KP-25-021-PSWT</x:v>
      </x:c>
      <x:c r="E248" s="13" t="str">
        <x:v>Criminal</x:v>
      </x:c>
      <x:c r="F248" s="13" t="str">
        <x:v>Panghahabol ng bata</x:v>
      </x:c>
      <x:c r="G248" s="13" t="str">
        <x:v>February 23, 2025</x:v>
      </x:c>
      <x:c r="H248" s="13" t="str">
        <x:v>-</x:v>
      </x:c>
      <x:c r="I248" s="13" t="str">
        <x:v>Walang pagkakasundo sa pagitan ng maysumbong at ipinaaumbong.</x:v>
      </x:c>
      <x:c r="J248" s="13" t="str">
        <x:v>Endorsed</x:v>
      </x:c>
      <x:c r="K248" s="13" t="str">
        <x:v>REFER_VAWC_CHILD_PROTECTION</x:v>
      </x:c>
      <x:c r="L248" s="13" t="str">
        <x:v>Not KP; mandatory safety referral screening</x:v>
      </x:c>
      <x:c r="M248" s="13" t="str">
        <x:v>Refer to appropriate authority / protection desk; do not mediate as ordinary KP case</x:v>
      </x:c>
      <x:c r="N248" s="13" t="str">
        <x:v>Nature indicates child/sexual-protection screening; refer for safety/legal assessment.</x:v>
      </x:c>
      <x:c r="O248" s="13" t="str"/>
      <x:c r="P248" s="13" t="str">
        <x:v>Panghahabol ng bata</x:v>
      </x:c>
      <x:c r="Q248" s="13" t="str"/>
      <x:c r="R248" s="13" t="str">
        <x:v>KP CASE PSWT - Sheet1 - KP CASE PSWT - Sheet1.pdf</x:v>
      </x:c>
    </x:row>
    <x:row r="249" ht="36" customHeight="1">
      <x:c r="A249" s="13" t="str">
        <x:v>KP-25-039-PSWT</x:v>
      </x:c>
      <x:c r="B249" s="13" t="str">
        <x:v>VAWC/child abuse</x:v>
      </x:c>
      <x:c r="C249" s="13" t="str">
        <x:v>Real PDF</x:v>
      </x:c>
      <x:c r="D249" s="13" t="str">
        <x:v>KP-25-039-PSWT</x:v>
      </x:c>
      <x:c r="E249" s="13" t="str">
        <x:v>Criminal</x:v>
      </x:c>
      <x:c r="F249" s="13" t="str">
        <x:v>Panghahabol ng aso sa bata</x:v>
      </x:c>
      <x:c r="G249" s="13" t="str">
        <x:v>April 29, 2025</x:v>
      </x:c>
      <x:c r="H249" s="13" t="str">
        <x:v>-</x:v>
      </x:c>
      <x:c r="I249" s="13" t="str">
        <x:v>Walang pagkakasundo sa dalawang panig.</x:v>
      </x:c>
      <x:c r="J249" s="13" t="str">
        <x:v>Pending</x:v>
      </x:c>
      <x:c r="K249" s="13" t="str">
        <x:v>REFER_VAWC_CHILD_PROTECTION</x:v>
      </x:c>
      <x:c r="L249" s="13" t="str">
        <x:v>Not KP; mandatory safety referral screening</x:v>
      </x:c>
      <x:c r="M249" s="13" t="str">
        <x:v>Refer to appropriate authority / protection desk; do not mediate as ordinary KP case</x:v>
      </x:c>
      <x:c r="N249" s="13" t="str">
        <x:v>Nature indicates child/sexual-protection screening; refer for safety/legal assessment.</x:v>
      </x:c>
      <x:c r="O249" s="13" t="str"/>
      <x:c r="P249" s="13" t="str">
        <x:v>Panghahabol ng aso sa bata</x:v>
      </x:c>
      <x:c r="Q249" s="13" t="str"/>
      <x:c r="R249" s="13" t="str">
        <x:v>KP CASE PSWT - Sheet1 - KP CASE PSWT - Sheet1.pdf</x:v>
      </x:c>
    </x:row>
    <x:row r="250" ht="36" customHeight="1">
      <x:c r="A250" s="13" t="str">
        <x:v>SYN-VACC-001</x:v>
      </x:c>
      <x:c r="B250" s="13" t="str">
        <x:v>VAWC/child abuse</x:v>
      </x:c>
      <x:c r="C250" s="13" t="str">
        <x:v>Synthetic</x:v>
      </x:c>
      <x:c r="D250" s="13" t="str"/>
      <x:c r="E250" s="13" t="str">
        <x:v>Referral</x:v>
      </x:c>
      <x:c r="F250" s="13" t="str">
        <x:v>Reklamo na may pananakit sa bata sa loob ng tahanan</x:v>
      </x:c>
      <x:c r="G250" s="13" t="str">
        <x:v>January 8, 2026</x:v>
      </x:c>
      <x:c r="H250" s="13" t="str">
        <x:v>-</x:v>
      </x:c>
      <x:c r="I250" s="13" t="str">
        <x:v>Synthetic example: protected-person/child-safety concern; should be routed for referral and not ordinary mediation.</x:v>
      </x:c>
      <x:c r="J250" s="13" t="str">
        <x:v>Refer</x:v>
      </x:c>
      <x:c r="K250" s="13" t="str">
        <x:v>REFER_VAWC_CHILD_PROTECTION</x:v>
      </x:c>
      <x:c r="L250" s="13" t="str">
        <x:v>Not KP; mandatory safety referral screening</x:v>
      </x:c>
      <x:c r="M250" s="13" t="str">
        <x:v>Refer to VAWC desk/CSWDO/PNP/proper authority; do not mediate as ordinary KP case</x:v>
      </x:c>
      <x:c r="N250" s="13" t="str">
        <x:v>Protected-person or child-safety issue requires referral.</x:v>
      </x:c>
      <x:c r="O250" s="13" t="str"/>
      <x:c r="P250" s="13" t="str">
        <x:v>Reklamo na may pananakit sa bata sa loob ng tahanan</x:v>
      </x:c>
      <x:c r="Q250" s="13" t="str">
        <x:v>Added to balance 'VAWC/child abuse' to 49 examples using the same Justice KP label schema.</x:v>
      </x:c>
      <x:c r="R250" s="13" t="str">
        <x:v>Synthetic row based on category coverage gap from uploaded PDF</x:v>
      </x:c>
    </x:row>
    <x:row r="251" ht="36" customHeight="1">
      <x:c r="A251" s="13" t="str">
        <x:v>SYN-VACC-002</x:v>
      </x:c>
      <x:c r="B251" s="13" t="str">
        <x:v>VAWC/child abuse</x:v>
      </x:c>
      <x:c r="C251" s="13" t="str">
        <x:v>Synthetic</x:v>
      </x:c>
      <x:c r="D251" s="13" t="str"/>
      <x:c r="E251" s="13" t="str">
        <x:v>Referral</x:v>
      </x:c>
      <x:c r="F251" s="13" t="str">
        <x:v>Ulat tungkol sa pagbabanta laban sa dating kinakasama</x:v>
      </x:c>
      <x:c r="G251" s="13" t="str">
        <x:v>January 11, 2026</x:v>
      </x:c>
      <x:c r="H251" s="13" t="str">
        <x:v>-</x:v>
      </x:c>
      <x:c r="I251" s="13" t="str">
        <x:v>Synthetic example: protected-person/child-safety concern; should be routed for referral and not ordinary mediation.</x:v>
      </x:c>
      <x:c r="J251" s="13" t="str">
        <x:v>Refer</x:v>
      </x:c>
      <x:c r="K251" s="13" t="str">
        <x:v>REFER_VAWC_CHILD_PROTECTION</x:v>
      </x:c>
      <x:c r="L251" s="13" t="str">
        <x:v>Not KP; mandatory safety referral screening</x:v>
      </x:c>
      <x:c r="M251" s="13" t="str">
        <x:v>Refer to VAWC desk/CSWDO/PNP/proper authority; do not mediate as ordinary KP case</x:v>
      </x:c>
      <x:c r="N251" s="13" t="str">
        <x:v>Protected-person or child-safety issue requires referral.</x:v>
      </x:c>
      <x:c r="O251" s="13" t="str"/>
      <x:c r="P251" s="13" t="str">
        <x:v>Ulat tungkol sa pagbabanta laban sa dating kinakasama</x:v>
      </x:c>
      <x:c r="Q251" s="13" t="str">
        <x:v>Added to balance 'VAWC/child abuse' to 49 examples using the same Justice KP label schema.</x:v>
      </x:c>
      <x:c r="R251" s="13" t="str">
        <x:v>Synthetic row based on category coverage gap from uploaded PDF</x:v>
      </x:c>
    </x:row>
    <x:row r="252" ht="36" customHeight="1">
      <x:c r="A252" s="13" t="str">
        <x:v>SYN-VACC-003</x:v>
      </x:c>
      <x:c r="B252" s="13" t="str">
        <x:v>VAWC/child abuse</x:v>
      </x:c>
      <x:c r="C252" s="13" t="str">
        <x:v>Synthetic</x:v>
      </x:c>
      <x:c r="D252" s="13" t="str"/>
      <x:c r="E252" s="13" t="str">
        <x:v>Referral</x:v>
      </x:c>
      <x:c r="F252" s="13" t="str">
        <x:v>Paghingi ng tulong dahil may batang takot umuwi sa bahay</x:v>
      </x:c>
      <x:c r="G252" s="13" t="str">
        <x:v>January 14, 2026</x:v>
      </x:c>
      <x:c r="H252" s="13" t="str">
        <x:v>-</x:v>
      </x:c>
      <x:c r="I252" s="13" t="str">
        <x:v>Synthetic example: protected-person/child-safety concern; should be routed for referral and not ordinary mediation.</x:v>
      </x:c>
      <x:c r="J252" s="13" t="str">
        <x:v>Refer</x:v>
      </x:c>
      <x:c r="K252" s="13" t="str">
        <x:v>REFER_VAWC_CHILD_PROTECTION</x:v>
      </x:c>
      <x:c r="L252" s="13" t="str">
        <x:v>Not KP; mandatory safety referral screening</x:v>
      </x:c>
      <x:c r="M252" s="13" t="str">
        <x:v>Refer to VAWC desk/CSWDO/PNP/proper authority; do not mediate as ordinary KP case</x:v>
      </x:c>
      <x:c r="N252" s="13" t="str">
        <x:v>Protected-person or child-safety issue requires referral.</x:v>
      </x:c>
      <x:c r="O252" s="13" t="str"/>
      <x:c r="P252" s="13" t="str">
        <x:v>Paghingi ng tulong dahil may batang takot umuwi sa bahay</x:v>
      </x:c>
      <x:c r="Q252" s="13" t="str">
        <x:v>Added to balance 'VAWC/child abuse' to 49 examples using the same Justice KP label schema.</x:v>
      </x:c>
      <x:c r="R252" s="13" t="str">
        <x:v>Synthetic row based on category coverage gap from uploaded PDF</x:v>
      </x:c>
    </x:row>
    <x:row r="253" ht="36" customHeight="1">
      <x:c r="A253" s="13" t="str">
        <x:v>SYN-VACC-004</x:v>
      </x:c>
      <x:c r="B253" s="13" t="str">
        <x:v>VAWC/child abuse</x:v>
      </x:c>
      <x:c r="C253" s="13" t="str">
        <x:v>Synthetic</x:v>
      </x:c>
      <x:c r="D253" s="13" t="str"/>
      <x:c r="E253" s="13" t="str">
        <x:v>Referral</x:v>
      </x:c>
      <x:c r="F253" s="13" t="str">
        <x:v>Reklamo ng pananakit sa asawa o kinakasama</x:v>
      </x:c>
      <x:c r="G253" s="13" t="str">
        <x:v>January 17, 2026</x:v>
      </x:c>
      <x:c r="H253" s="13" t="str">
        <x:v>-</x:v>
      </x:c>
      <x:c r="I253" s="13" t="str">
        <x:v>Synthetic example: protected-person/child-safety concern; should be routed for referral and not ordinary mediation.</x:v>
      </x:c>
      <x:c r="J253" s="13" t="str">
        <x:v>Refer</x:v>
      </x:c>
      <x:c r="K253" s="13" t="str">
        <x:v>REFER_VAWC_CHILD_PROTECTION</x:v>
      </x:c>
      <x:c r="L253" s="13" t="str">
        <x:v>Not KP; mandatory safety referral screening</x:v>
      </x:c>
      <x:c r="M253" s="13" t="str">
        <x:v>Refer to VAWC desk/CSWDO/PNP/proper authority; do not mediate as ordinary KP case</x:v>
      </x:c>
      <x:c r="N253" s="13" t="str">
        <x:v>Protected-person or child-safety issue requires referral.</x:v>
      </x:c>
      <x:c r="O253" s="13" t="str"/>
      <x:c r="P253" s="13" t="str">
        <x:v>Reklamo ng pananakit sa asawa o kinakasama</x:v>
      </x:c>
      <x:c r="Q253" s="13" t="str">
        <x:v>Added to balance 'VAWC/child abuse' to 49 examples using the same Justice KP label schema.</x:v>
      </x:c>
      <x:c r="R253" s="13" t="str">
        <x:v>Synthetic row based on category coverage gap from uploaded PDF</x:v>
      </x:c>
    </x:row>
    <x:row r="254" ht="36" customHeight="1">
      <x:c r="A254" s="13" t="str">
        <x:v>SYN-VACC-005</x:v>
      </x:c>
      <x:c r="B254" s="13" t="str">
        <x:v>VAWC/child abuse</x:v>
      </x:c>
      <x:c r="C254" s="13" t="str">
        <x:v>Synthetic</x:v>
      </x:c>
      <x:c r="D254" s="13" t="str"/>
      <x:c r="E254" s="13" t="str">
        <x:v>Referral</x:v>
      </x:c>
      <x:c r="F254" s="13" t="str">
        <x:v>Ulat ng harassment sa menor de edad</x:v>
      </x:c>
      <x:c r="G254" s="13" t="str">
        <x:v>January 20, 2026</x:v>
      </x:c>
      <x:c r="H254" s="13" t="str">
        <x:v>-</x:v>
      </x:c>
      <x:c r="I254" s="13" t="str">
        <x:v>Synthetic example: protected-person/child-safety concern; should be routed for referral and not ordinary mediation.</x:v>
      </x:c>
      <x:c r="J254" s="13" t="str">
        <x:v>Refer</x:v>
      </x:c>
      <x:c r="K254" s="13" t="str">
        <x:v>REFER_VAWC_CHILD_PROTECTION</x:v>
      </x:c>
      <x:c r="L254" s="13" t="str">
        <x:v>Not KP; mandatory safety referral screening</x:v>
      </x:c>
      <x:c r="M254" s="13" t="str">
        <x:v>Refer to VAWC desk/CSWDO/PNP/proper authority; do not mediate as ordinary KP case</x:v>
      </x:c>
      <x:c r="N254" s="13" t="str">
        <x:v>Protected-person or child-safety issue requires referral.</x:v>
      </x:c>
      <x:c r="O254" s="13" t="str"/>
      <x:c r="P254" s="13" t="str">
        <x:v>Ulat ng harassment sa menor de edad</x:v>
      </x:c>
      <x:c r="Q254" s="13" t="str">
        <x:v>Added to balance 'VAWC/child abuse' to 49 examples using the same Justice KP label schema.</x:v>
      </x:c>
      <x:c r="R254" s="13" t="str">
        <x:v>Synthetic row based on category coverage gap from uploaded PDF</x:v>
      </x:c>
    </x:row>
    <x:row r="255" ht="36" customHeight="1">
      <x:c r="A255" s="13" t="str">
        <x:v>SYN-VACC-006</x:v>
      </x:c>
      <x:c r="B255" s="13" t="str">
        <x:v>VAWC/child abuse</x:v>
      </x:c>
      <x:c r="C255" s="13" t="str">
        <x:v>Synthetic</x:v>
      </x:c>
      <x:c r="D255" s="13" t="str"/>
      <x:c r="E255" s="13" t="str">
        <x:v>Referral</x:v>
      </x:c>
      <x:c r="F255" s="13" t="str">
        <x:v>Paghingi ng referral para sa child-protection concern</x:v>
      </x:c>
      <x:c r="G255" s="13" t="str">
        <x:v>January 23, 2026</x:v>
      </x:c>
      <x:c r="H255" s="13" t="str">
        <x:v>-</x:v>
      </x:c>
      <x:c r="I255" s="13" t="str">
        <x:v>Synthetic example: protected-person/child-safety concern; should be routed for referral and not ordinary mediation.</x:v>
      </x:c>
      <x:c r="J255" s="13" t="str">
        <x:v>Refer</x:v>
      </x:c>
      <x:c r="K255" s="13" t="str">
        <x:v>REFER_VAWC_CHILD_PROTECTION</x:v>
      </x:c>
      <x:c r="L255" s="13" t="str">
        <x:v>Not KP; mandatory safety referral screening</x:v>
      </x:c>
      <x:c r="M255" s="13" t="str">
        <x:v>Refer to VAWC desk/CSWDO/PNP/proper authority; do not mediate as ordinary KP case</x:v>
      </x:c>
      <x:c r="N255" s="13" t="str">
        <x:v>Protected-person or child-safety issue requires referral.</x:v>
      </x:c>
      <x:c r="O255" s="13" t="str"/>
      <x:c r="P255" s="13" t="str">
        <x:v>Paghingi ng referral para sa child-protection concern</x:v>
      </x:c>
      <x:c r="Q255" s="13" t="str">
        <x:v>Added to balance 'VAWC/child abuse' to 49 examples using the same Justice KP label schema.</x:v>
      </x:c>
      <x:c r="R255" s="13" t="str">
        <x:v>Synthetic row based on category coverage gap from uploaded PDF</x:v>
      </x:c>
    </x:row>
    <x:row r="256" ht="36" customHeight="1">
      <x:c r="A256" s="13" t="str">
        <x:v>SYN-VACC-007</x:v>
      </x:c>
      <x:c r="B256" s="13" t="str">
        <x:v>VAWC/child abuse</x:v>
      </x:c>
      <x:c r="C256" s="13" t="str">
        <x:v>Synthetic</x:v>
      </x:c>
      <x:c r="D256" s="13" t="str"/>
      <x:c r="E256" s="13" t="str">
        <x:v>Referral</x:v>
      </x:c>
      <x:c r="F256" s="13" t="str">
        <x:v>Reklamo sa paulit-ulit na pananakot sa babae sa loob ng bahay</x:v>
      </x:c>
      <x:c r="G256" s="13" t="str">
        <x:v>January 26, 2026</x:v>
      </x:c>
      <x:c r="H256" s="13" t="str">
        <x:v>-</x:v>
      </x:c>
      <x:c r="I256" s="13" t="str">
        <x:v>Synthetic example: protected-person/child-safety concern; should be routed for referral and not ordinary mediation.</x:v>
      </x:c>
      <x:c r="J256" s="13" t="str">
        <x:v>Refer</x:v>
      </x:c>
      <x:c r="K256" s="13" t="str">
        <x:v>REFER_VAWC_CHILD_PROTECTION</x:v>
      </x:c>
      <x:c r="L256" s="13" t="str">
        <x:v>Not KP; mandatory safety referral screening</x:v>
      </x:c>
      <x:c r="M256" s="13" t="str">
        <x:v>Refer to VAWC desk/CSWDO/PNP/proper authority; do not mediate as ordinary KP case</x:v>
      </x:c>
      <x:c r="N256" s="13" t="str">
        <x:v>Protected-person or child-safety issue requires referral.</x:v>
      </x:c>
      <x:c r="O256" s="13" t="str"/>
      <x:c r="P256" s="13" t="str">
        <x:v>Reklamo sa paulit-ulit na pananakot sa babae sa loob ng bahay</x:v>
      </x:c>
      <x:c r="Q256" s="13" t="str">
        <x:v>Added to balance 'VAWC/child abuse' to 49 examples using the same Justice KP label schema.</x:v>
      </x:c>
      <x:c r="R256" s="13" t="str">
        <x:v>Synthetic row based on category coverage gap from uploaded PDF</x:v>
      </x:c>
    </x:row>
    <x:row r="257" ht="36" customHeight="1">
      <x:c r="A257" s="13" t="str">
        <x:v>SYN-VACC-008</x:v>
      </x:c>
      <x:c r="B257" s="13" t="str">
        <x:v>VAWC/child abuse</x:v>
      </x:c>
      <x:c r="C257" s="13" t="str">
        <x:v>Synthetic</x:v>
      </x:c>
      <x:c r="D257" s="13" t="str"/>
      <x:c r="E257" s="13" t="str">
        <x:v>Referral</x:v>
      </x:c>
      <x:c r="F257" s="13" t="str">
        <x:v>Ulat ng kapitbahay tungkol sa posibleng child abuse</x:v>
      </x:c>
      <x:c r="G257" s="13" t="str">
        <x:v>January 29, 2026</x:v>
      </x:c>
      <x:c r="H257" s="13" t="str">
        <x:v>-</x:v>
      </x:c>
      <x:c r="I257" s="13" t="str">
        <x:v>Synthetic example: protected-person/child-safety concern; should be routed for referral and not ordinary mediation.</x:v>
      </x:c>
      <x:c r="J257" s="13" t="str">
        <x:v>Refer</x:v>
      </x:c>
      <x:c r="K257" s="13" t="str">
        <x:v>REFER_VAWC_CHILD_PROTECTION</x:v>
      </x:c>
      <x:c r="L257" s="13" t="str">
        <x:v>Not KP; mandatory safety referral screening</x:v>
      </x:c>
      <x:c r="M257" s="13" t="str">
        <x:v>Refer to VAWC desk/CSWDO/PNP/proper authority; do not mediate as ordinary KP case</x:v>
      </x:c>
      <x:c r="N257" s="13" t="str">
        <x:v>Protected-person or child-safety issue requires referral.</x:v>
      </x:c>
      <x:c r="O257" s="13" t="str"/>
      <x:c r="P257" s="13" t="str">
        <x:v>Ulat ng kapitbahay tungkol sa posibleng child abuse</x:v>
      </x:c>
      <x:c r="Q257" s="13" t="str">
        <x:v>Added to balance 'VAWC/child abuse' to 49 examples using the same Justice KP label schema.</x:v>
      </x:c>
      <x:c r="R257" s="13" t="str">
        <x:v>Synthetic row based on category coverage gap from uploaded PDF</x:v>
      </x:c>
    </x:row>
    <x:row r="258" ht="36" customHeight="1">
      <x:c r="A258" s="13" t="str">
        <x:v>SYN-VACC-009</x:v>
      </x:c>
      <x:c r="B258" s="13" t="str">
        <x:v>VAWC/child abuse</x:v>
      </x:c>
      <x:c r="C258" s="13" t="str">
        <x:v>Synthetic</x:v>
      </x:c>
      <x:c r="D258" s="13" t="str"/>
      <x:c r="E258" s="13" t="str">
        <x:v>Referral</x:v>
      </x:c>
      <x:c r="F258" s="13" t="str">
        <x:v>Paghingi ng tulong sa barangay dahil may banta sa anak</x:v>
      </x:c>
      <x:c r="G258" s="13" t="str">
        <x:v>February 1, 2026</x:v>
      </x:c>
      <x:c r="H258" s="13" t="str">
        <x:v>-</x:v>
      </x:c>
      <x:c r="I258" s="13" t="str">
        <x:v>Synthetic example: protected-person/child-safety concern; should be routed for referral and not ordinary mediation.</x:v>
      </x:c>
      <x:c r="J258" s="13" t="str">
        <x:v>Refer</x:v>
      </x:c>
      <x:c r="K258" s="13" t="str">
        <x:v>REFER_VAWC_CHILD_PROTECTION</x:v>
      </x:c>
      <x:c r="L258" s="13" t="str">
        <x:v>Not KP; mandatory safety referral screening</x:v>
      </x:c>
      <x:c r="M258" s="13" t="str">
        <x:v>Refer to VAWC desk/CSWDO/PNP/proper authority; do not mediate as ordinary KP case</x:v>
      </x:c>
      <x:c r="N258" s="13" t="str">
        <x:v>Protected-person or child-safety issue requires referral.</x:v>
      </x:c>
      <x:c r="O258" s="13" t="str"/>
      <x:c r="P258" s="13" t="str">
        <x:v>Paghingi ng tulong sa barangay dahil may banta sa anak</x:v>
      </x:c>
      <x:c r="Q258" s="13" t="str">
        <x:v>Added to balance 'VAWC/child abuse' to 49 examples using the same Justice KP label schema.</x:v>
      </x:c>
      <x:c r="R258" s="13" t="str">
        <x:v>Synthetic row based on category coverage gap from uploaded PDF</x:v>
      </x:c>
    </x:row>
    <x:row r="259" ht="36" customHeight="1">
      <x:c r="A259" s="13" t="str">
        <x:v>SYN-VACC-010</x:v>
      </x:c>
      <x:c r="B259" s="13" t="str">
        <x:v>VAWC/child abuse</x:v>
      </x:c>
      <x:c r="C259" s="13" t="str">
        <x:v>Synthetic</x:v>
      </x:c>
      <x:c r="D259" s="13" t="str"/>
      <x:c r="E259" s="13" t="str">
        <x:v>Referral</x:v>
      </x:c>
      <x:c r="F259" s="13" t="str">
        <x:v>Reklamo na may emotional abuse sa dating partner</x:v>
      </x:c>
      <x:c r="G259" s="13" t="str">
        <x:v>February 4, 2026</x:v>
      </x:c>
      <x:c r="H259" s="13" t="str">
        <x:v>-</x:v>
      </x:c>
      <x:c r="I259" s="13" t="str">
        <x:v>Synthetic example: protected-person/child-safety concern; should be routed for referral and not ordinary mediation.</x:v>
      </x:c>
      <x:c r="J259" s="13" t="str">
        <x:v>Refer</x:v>
      </x:c>
      <x:c r="K259" s="13" t="str">
        <x:v>REFER_VAWC_CHILD_PROTECTION</x:v>
      </x:c>
      <x:c r="L259" s="13" t="str">
        <x:v>Not KP; mandatory safety referral screening</x:v>
      </x:c>
      <x:c r="M259" s="13" t="str">
        <x:v>Refer to VAWC desk/CSWDO/PNP/proper authority; do not mediate as ordinary KP case</x:v>
      </x:c>
      <x:c r="N259" s="13" t="str">
        <x:v>Protected-person or child-safety issue requires referral.</x:v>
      </x:c>
      <x:c r="O259" s="13" t="str"/>
      <x:c r="P259" s="13" t="str">
        <x:v>Reklamo na may emotional abuse sa dating partner</x:v>
      </x:c>
      <x:c r="Q259" s="13" t="str">
        <x:v>Added to balance 'VAWC/child abuse' to 49 examples using the same Justice KP label schema.</x:v>
      </x:c>
      <x:c r="R259" s="13" t="str">
        <x:v>Synthetic row based on category coverage gap from uploaded PDF</x:v>
      </x:c>
    </x:row>
    <x:row r="260" ht="36" customHeight="1">
      <x:c r="A260" s="13" t="str">
        <x:v>SYN-VACC-011</x:v>
      </x:c>
      <x:c r="B260" s="13" t="str">
        <x:v>VAWC/child abuse</x:v>
      </x:c>
      <x:c r="C260" s="13" t="str">
        <x:v>Synthetic</x:v>
      </x:c>
      <x:c r="D260" s="13" t="str"/>
      <x:c r="E260" s="13" t="str">
        <x:v>Referral</x:v>
      </x:c>
      <x:c r="F260" s="13" t="str">
        <x:v>Reklamo na may pananakit sa bata sa loob ng tahanan</x:v>
      </x:c>
      <x:c r="G260" s="13" t="str">
        <x:v>February 7, 2026</x:v>
      </x:c>
      <x:c r="H260" s="13" t="str">
        <x:v>-</x:v>
      </x:c>
      <x:c r="I260" s="13" t="str">
        <x:v>Synthetic example: protected-person/child-safety concern; should be routed for referral and not ordinary mediation.</x:v>
      </x:c>
      <x:c r="J260" s="13" t="str">
        <x:v>Refer</x:v>
      </x:c>
      <x:c r="K260" s="13" t="str">
        <x:v>REFER_VAWC_CHILD_PROTECTION</x:v>
      </x:c>
      <x:c r="L260" s="13" t="str">
        <x:v>Not KP; mandatory safety referral screening</x:v>
      </x:c>
      <x:c r="M260" s="13" t="str">
        <x:v>Refer to VAWC desk/CSWDO/PNP/proper authority; do not mediate as ordinary KP case</x:v>
      </x:c>
      <x:c r="N260" s="13" t="str">
        <x:v>Protected-person or child-safety issue requires referral.</x:v>
      </x:c>
      <x:c r="O260" s="13" t="str"/>
      <x:c r="P260" s="13" t="str">
        <x:v>Reklamo na may pananakit sa bata sa loob ng tahanan</x:v>
      </x:c>
      <x:c r="Q260" s="13" t="str">
        <x:v>Added to balance 'VAWC/child abuse' to 49 examples using the same Justice KP label schema.</x:v>
      </x:c>
      <x:c r="R260" s="13" t="str">
        <x:v>Synthetic row based on category coverage gap from uploaded PDF</x:v>
      </x:c>
    </x:row>
    <x:row r="261" ht="36" customHeight="1">
      <x:c r="A261" s="13" t="str">
        <x:v>SYN-VACC-012</x:v>
      </x:c>
      <x:c r="B261" s="13" t="str">
        <x:v>VAWC/child abuse</x:v>
      </x:c>
      <x:c r="C261" s="13" t="str">
        <x:v>Synthetic</x:v>
      </x:c>
      <x:c r="D261" s="13" t="str"/>
      <x:c r="E261" s="13" t="str">
        <x:v>Referral</x:v>
      </x:c>
      <x:c r="F261" s="13" t="str">
        <x:v>Ulat tungkol sa pagbabanta laban sa dating kinakasama</x:v>
      </x:c>
      <x:c r="G261" s="13" t="str">
        <x:v>February 10, 2026</x:v>
      </x:c>
      <x:c r="H261" s="13" t="str">
        <x:v>-</x:v>
      </x:c>
      <x:c r="I261" s="13" t="str">
        <x:v>Synthetic example: protected-person/child-safety concern; should be routed for referral and not ordinary mediation.</x:v>
      </x:c>
      <x:c r="J261" s="13" t="str">
        <x:v>Refer</x:v>
      </x:c>
      <x:c r="K261" s="13" t="str">
        <x:v>REFER_VAWC_CHILD_PROTECTION</x:v>
      </x:c>
      <x:c r="L261" s="13" t="str">
        <x:v>Not KP; mandatory safety referral screening</x:v>
      </x:c>
      <x:c r="M261" s="13" t="str">
        <x:v>Refer to VAWC desk/CSWDO/PNP/proper authority; do not mediate as ordinary KP case</x:v>
      </x:c>
      <x:c r="N261" s="13" t="str">
        <x:v>Protected-person or child-safety issue requires referral.</x:v>
      </x:c>
      <x:c r="O261" s="13" t="str"/>
      <x:c r="P261" s="13" t="str">
        <x:v>Ulat tungkol sa pagbabanta laban sa dating kinakasama</x:v>
      </x:c>
      <x:c r="Q261" s="13" t="str">
        <x:v>Added to balance 'VAWC/child abuse' to 49 examples using the same Justice KP label schema.</x:v>
      </x:c>
      <x:c r="R261" s="13" t="str">
        <x:v>Synthetic row based on category coverage gap from uploaded PDF</x:v>
      </x:c>
    </x:row>
    <x:row r="262" ht="36" customHeight="1">
      <x:c r="A262" s="13" t="str">
        <x:v>SYN-VACC-013</x:v>
      </x:c>
      <x:c r="B262" s="13" t="str">
        <x:v>VAWC/child abuse</x:v>
      </x:c>
      <x:c r="C262" s="13" t="str">
        <x:v>Synthetic</x:v>
      </x:c>
      <x:c r="D262" s="13" t="str"/>
      <x:c r="E262" s="13" t="str">
        <x:v>Referral</x:v>
      </x:c>
      <x:c r="F262" s="13" t="str">
        <x:v>Paghingi ng tulong dahil may batang takot umuwi sa bahay</x:v>
      </x:c>
      <x:c r="G262" s="13" t="str">
        <x:v>February 13, 2026</x:v>
      </x:c>
      <x:c r="H262" s="13" t="str">
        <x:v>-</x:v>
      </x:c>
      <x:c r="I262" s="13" t="str">
        <x:v>Synthetic example: protected-person/child-safety concern; should be routed for referral and not ordinary mediation.</x:v>
      </x:c>
      <x:c r="J262" s="13" t="str">
        <x:v>Refer</x:v>
      </x:c>
      <x:c r="K262" s="13" t="str">
        <x:v>REFER_VAWC_CHILD_PROTECTION</x:v>
      </x:c>
      <x:c r="L262" s="13" t="str">
        <x:v>Not KP; mandatory safety referral screening</x:v>
      </x:c>
      <x:c r="M262" s="13" t="str">
        <x:v>Refer to VAWC desk/CSWDO/PNP/proper authority; do not mediate as ordinary KP case</x:v>
      </x:c>
      <x:c r="N262" s="13" t="str">
        <x:v>Protected-person or child-safety issue requires referral.</x:v>
      </x:c>
      <x:c r="O262" s="13" t="str"/>
      <x:c r="P262" s="13" t="str">
        <x:v>Paghingi ng tulong dahil may batang takot umuwi sa bahay</x:v>
      </x:c>
      <x:c r="Q262" s="13" t="str">
        <x:v>Added to balance 'VAWC/child abuse' to 49 examples using the same Justice KP label schema.</x:v>
      </x:c>
      <x:c r="R262" s="13" t="str">
        <x:v>Synthetic row based on category coverage gap from uploaded PDF</x:v>
      </x:c>
    </x:row>
    <x:row r="263" ht="36" customHeight="1">
      <x:c r="A263" s="13" t="str">
        <x:v>SYN-VACC-014</x:v>
      </x:c>
      <x:c r="B263" s="13" t="str">
        <x:v>VAWC/child abuse</x:v>
      </x:c>
      <x:c r="C263" s="13" t="str">
        <x:v>Synthetic</x:v>
      </x:c>
      <x:c r="D263" s="13" t="str"/>
      <x:c r="E263" s="13" t="str">
        <x:v>Referral</x:v>
      </x:c>
      <x:c r="F263" s="13" t="str">
        <x:v>Reklamo ng pananakit sa asawa o kinakasama</x:v>
      </x:c>
      <x:c r="G263" s="13" t="str">
        <x:v>February 16, 2026</x:v>
      </x:c>
      <x:c r="H263" s="13" t="str">
        <x:v>-</x:v>
      </x:c>
      <x:c r="I263" s="13" t="str">
        <x:v>Synthetic example: protected-person/child-safety concern; should be routed for referral and not ordinary mediation.</x:v>
      </x:c>
      <x:c r="J263" s="13" t="str">
        <x:v>Refer</x:v>
      </x:c>
      <x:c r="K263" s="13" t="str">
        <x:v>REFER_VAWC_CHILD_PROTECTION</x:v>
      </x:c>
      <x:c r="L263" s="13" t="str">
        <x:v>Not KP; mandatory safety referral screening</x:v>
      </x:c>
      <x:c r="M263" s="13" t="str">
        <x:v>Refer to VAWC desk/CSWDO/PNP/proper authority; do not mediate as ordinary KP case</x:v>
      </x:c>
      <x:c r="N263" s="13" t="str">
        <x:v>Protected-person or child-safety issue requires referral.</x:v>
      </x:c>
      <x:c r="O263" s="13" t="str"/>
      <x:c r="P263" s="13" t="str">
        <x:v>Reklamo ng pananakit sa asawa o kinakasama</x:v>
      </x:c>
      <x:c r="Q263" s="13" t="str">
        <x:v>Added to balance 'VAWC/child abuse' to 49 examples using the same Justice KP label schema.</x:v>
      </x:c>
      <x:c r="R263" s="13" t="str">
        <x:v>Synthetic row based on category coverage gap from uploaded PDF</x:v>
      </x:c>
    </x:row>
    <x:row r="264" ht="36" customHeight="1">
      <x:c r="A264" s="13" t="str">
        <x:v>SYN-VACC-015</x:v>
      </x:c>
      <x:c r="B264" s="13" t="str">
        <x:v>VAWC/child abuse</x:v>
      </x:c>
      <x:c r="C264" s="13" t="str">
        <x:v>Synthetic</x:v>
      </x:c>
      <x:c r="D264" s="13" t="str"/>
      <x:c r="E264" s="13" t="str">
        <x:v>Referral</x:v>
      </x:c>
      <x:c r="F264" s="13" t="str">
        <x:v>Ulat ng harassment sa menor de edad</x:v>
      </x:c>
      <x:c r="G264" s="13" t="str">
        <x:v>February 19, 2026</x:v>
      </x:c>
      <x:c r="H264" s="13" t="str">
        <x:v>-</x:v>
      </x:c>
      <x:c r="I264" s="13" t="str">
        <x:v>Synthetic example: protected-person/child-safety concern; should be routed for referral and not ordinary mediation.</x:v>
      </x:c>
      <x:c r="J264" s="13" t="str">
        <x:v>Refer</x:v>
      </x:c>
      <x:c r="K264" s="13" t="str">
        <x:v>REFER_VAWC_CHILD_PROTECTION</x:v>
      </x:c>
      <x:c r="L264" s="13" t="str">
        <x:v>Not KP; mandatory safety referral screening</x:v>
      </x:c>
      <x:c r="M264" s="13" t="str">
        <x:v>Refer to VAWC desk/CSWDO/PNP/proper authority; do not mediate as ordinary KP case</x:v>
      </x:c>
      <x:c r="N264" s="13" t="str">
        <x:v>Protected-person or child-safety issue requires referral.</x:v>
      </x:c>
      <x:c r="O264" s="13" t="str"/>
      <x:c r="P264" s="13" t="str">
        <x:v>Ulat ng harassment sa menor de edad</x:v>
      </x:c>
      <x:c r="Q264" s="13" t="str">
        <x:v>Added to balance 'VAWC/child abuse' to 49 examples using the same Justice KP label schema.</x:v>
      </x:c>
      <x:c r="R264" s="13" t="str">
        <x:v>Synthetic row based on category coverage gap from uploaded PDF</x:v>
      </x:c>
    </x:row>
    <x:row r="265" ht="36" customHeight="1">
      <x:c r="A265" s="13" t="str">
        <x:v>SYN-VACC-016</x:v>
      </x:c>
      <x:c r="B265" s="13" t="str">
        <x:v>VAWC/child abuse</x:v>
      </x:c>
      <x:c r="C265" s="13" t="str">
        <x:v>Synthetic</x:v>
      </x:c>
      <x:c r="D265" s="13" t="str"/>
      <x:c r="E265" s="13" t="str">
        <x:v>Referral</x:v>
      </x:c>
      <x:c r="F265" s="13" t="str">
        <x:v>Paghingi ng referral para sa child-protection concern</x:v>
      </x:c>
      <x:c r="G265" s="13" t="str">
        <x:v>February 22, 2026</x:v>
      </x:c>
      <x:c r="H265" s="13" t="str">
        <x:v>-</x:v>
      </x:c>
      <x:c r="I265" s="13" t="str">
        <x:v>Synthetic example: protected-person/child-safety concern; should be routed for referral and not ordinary mediation.</x:v>
      </x:c>
      <x:c r="J265" s="13" t="str">
        <x:v>Refer</x:v>
      </x:c>
      <x:c r="K265" s="13" t="str">
        <x:v>REFER_VAWC_CHILD_PROTECTION</x:v>
      </x:c>
      <x:c r="L265" s="13" t="str">
        <x:v>Not KP; mandatory safety referral screening</x:v>
      </x:c>
      <x:c r="M265" s="13" t="str">
        <x:v>Refer to VAWC desk/CSWDO/PNP/proper authority; do not mediate as ordinary KP case</x:v>
      </x:c>
      <x:c r="N265" s="13" t="str">
        <x:v>Protected-person or child-safety issue requires referral.</x:v>
      </x:c>
      <x:c r="O265" s="13" t="str"/>
      <x:c r="P265" s="13" t="str">
        <x:v>Paghingi ng referral para sa child-protection concern</x:v>
      </x:c>
      <x:c r="Q265" s="13" t="str">
        <x:v>Added to balance 'VAWC/child abuse' to 49 examples using the same Justice KP label schema.</x:v>
      </x:c>
      <x:c r="R265" s="13" t="str">
        <x:v>Synthetic row based on category coverage gap from uploaded PDF</x:v>
      </x:c>
    </x:row>
    <x:row r="266" ht="36" customHeight="1">
      <x:c r="A266" s="13" t="str">
        <x:v>SYN-VACC-017</x:v>
      </x:c>
      <x:c r="B266" s="13" t="str">
        <x:v>VAWC/child abuse</x:v>
      </x:c>
      <x:c r="C266" s="13" t="str">
        <x:v>Synthetic</x:v>
      </x:c>
      <x:c r="D266" s="13" t="str"/>
      <x:c r="E266" s="13" t="str">
        <x:v>Referral</x:v>
      </x:c>
      <x:c r="F266" s="13" t="str">
        <x:v>Reklamo sa paulit-ulit na pananakot sa babae sa loob ng bahay</x:v>
      </x:c>
      <x:c r="G266" s="13" t="str">
        <x:v>February 25, 2026</x:v>
      </x:c>
      <x:c r="H266" s="13" t="str">
        <x:v>-</x:v>
      </x:c>
      <x:c r="I266" s="13" t="str">
        <x:v>Synthetic example: protected-person/child-safety concern; should be routed for referral and not ordinary mediation.</x:v>
      </x:c>
      <x:c r="J266" s="13" t="str">
        <x:v>Refer</x:v>
      </x:c>
      <x:c r="K266" s="13" t="str">
        <x:v>REFER_VAWC_CHILD_PROTECTION</x:v>
      </x:c>
      <x:c r="L266" s="13" t="str">
        <x:v>Not KP; mandatory safety referral screening</x:v>
      </x:c>
      <x:c r="M266" s="13" t="str">
        <x:v>Refer to VAWC desk/CSWDO/PNP/proper authority; do not mediate as ordinary KP case</x:v>
      </x:c>
      <x:c r="N266" s="13" t="str">
        <x:v>Protected-person or child-safety issue requires referral.</x:v>
      </x:c>
      <x:c r="O266" s="13" t="str"/>
      <x:c r="P266" s="13" t="str">
        <x:v>Reklamo sa paulit-ulit na pananakot sa babae sa loob ng bahay</x:v>
      </x:c>
      <x:c r="Q266" s="13" t="str">
        <x:v>Added to balance 'VAWC/child abuse' to 49 examples using the same Justice KP label schema.</x:v>
      </x:c>
      <x:c r="R266" s="13" t="str">
        <x:v>Synthetic row based on category coverage gap from uploaded PDF</x:v>
      </x:c>
    </x:row>
    <x:row r="267" ht="36" customHeight="1">
      <x:c r="A267" s="13" t="str">
        <x:v>SYN-VACC-018</x:v>
      </x:c>
      <x:c r="B267" s="13" t="str">
        <x:v>VAWC/child abuse</x:v>
      </x:c>
      <x:c r="C267" s="13" t="str">
        <x:v>Synthetic</x:v>
      </x:c>
      <x:c r="D267" s="13" t="str"/>
      <x:c r="E267" s="13" t="str">
        <x:v>Referral</x:v>
      </x:c>
      <x:c r="F267" s="13" t="str">
        <x:v>Ulat ng kapitbahay tungkol sa posibleng child abuse</x:v>
      </x:c>
      <x:c r="G267" s="13" t="str">
        <x:v>February 28, 2026</x:v>
      </x:c>
      <x:c r="H267" s="13" t="str">
        <x:v>-</x:v>
      </x:c>
      <x:c r="I267" s="13" t="str">
        <x:v>Synthetic example: protected-person/child-safety concern; should be routed for referral and not ordinary mediation.</x:v>
      </x:c>
      <x:c r="J267" s="13" t="str">
        <x:v>Refer</x:v>
      </x:c>
      <x:c r="K267" s="13" t="str">
        <x:v>REFER_VAWC_CHILD_PROTECTION</x:v>
      </x:c>
      <x:c r="L267" s="13" t="str">
        <x:v>Not KP; mandatory safety referral screening</x:v>
      </x:c>
      <x:c r="M267" s="13" t="str">
        <x:v>Refer to VAWC desk/CSWDO/PNP/proper authority; do not mediate as ordinary KP case</x:v>
      </x:c>
      <x:c r="N267" s="13" t="str">
        <x:v>Protected-person or child-safety issue requires referral.</x:v>
      </x:c>
      <x:c r="O267" s="13" t="str"/>
      <x:c r="P267" s="13" t="str">
        <x:v>Ulat ng kapitbahay tungkol sa posibleng child abuse</x:v>
      </x:c>
      <x:c r="Q267" s="13" t="str">
        <x:v>Added to balance 'VAWC/child abuse' to 49 examples using the same Justice KP label schema.</x:v>
      </x:c>
      <x:c r="R267" s="13" t="str">
        <x:v>Synthetic row based on category coverage gap from uploaded PDF</x:v>
      </x:c>
    </x:row>
    <x:row r="268" ht="36" customHeight="1">
      <x:c r="A268" s="13" t="str">
        <x:v>SYN-VACC-019</x:v>
      </x:c>
      <x:c r="B268" s="13" t="str">
        <x:v>VAWC/child abuse</x:v>
      </x:c>
      <x:c r="C268" s="13" t="str">
        <x:v>Synthetic</x:v>
      </x:c>
      <x:c r="D268" s="13" t="str"/>
      <x:c r="E268" s="13" t="str">
        <x:v>Referral</x:v>
      </x:c>
      <x:c r="F268" s="13" t="str">
        <x:v>Paghingi ng tulong sa barangay dahil may banta sa anak</x:v>
      </x:c>
      <x:c r="G268" s="13" t="str">
        <x:v>March 3, 2026</x:v>
      </x:c>
      <x:c r="H268" s="13" t="str">
        <x:v>-</x:v>
      </x:c>
      <x:c r="I268" s="13" t="str">
        <x:v>Synthetic example: protected-person/child-safety concern; should be routed for referral and not ordinary mediation.</x:v>
      </x:c>
      <x:c r="J268" s="13" t="str">
        <x:v>Refer</x:v>
      </x:c>
      <x:c r="K268" s="13" t="str">
        <x:v>REFER_VAWC_CHILD_PROTECTION</x:v>
      </x:c>
      <x:c r="L268" s="13" t="str">
        <x:v>Not KP; mandatory safety referral screening</x:v>
      </x:c>
      <x:c r="M268" s="13" t="str">
        <x:v>Refer to VAWC desk/CSWDO/PNP/proper authority; do not mediate as ordinary KP case</x:v>
      </x:c>
      <x:c r="N268" s="13" t="str">
        <x:v>Protected-person or child-safety issue requires referral.</x:v>
      </x:c>
      <x:c r="O268" s="13" t="str"/>
      <x:c r="P268" s="13" t="str">
        <x:v>Paghingi ng tulong sa barangay dahil may banta sa anak</x:v>
      </x:c>
      <x:c r="Q268" s="13" t="str">
        <x:v>Added to balance 'VAWC/child abuse' to 49 examples using the same Justice KP label schema.</x:v>
      </x:c>
      <x:c r="R268" s="13" t="str">
        <x:v>Synthetic row based on category coverage gap from uploaded PDF</x:v>
      </x:c>
    </x:row>
    <x:row r="269" ht="36" customHeight="1">
      <x:c r="A269" s="13" t="str">
        <x:v>SYN-VACC-020</x:v>
      </x:c>
      <x:c r="B269" s="13" t="str">
        <x:v>VAWC/child abuse</x:v>
      </x:c>
      <x:c r="C269" s="13" t="str">
        <x:v>Synthetic</x:v>
      </x:c>
      <x:c r="D269" s="13" t="str"/>
      <x:c r="E269" s="13" t="str">
        <x:v>Referral</x:v>
      </x:c>
      <x:c r="F269" s="13" t="str">
        <x:v>Reklamo na may emotional abuse sa dating partner</x:v>
      </x:c>
      <x:c r="G269" s="13" t="str">
        <x:v>March 6, 2026</x:v>
      </x:c>
      <x:c r="H269" s="13" t="str">
        <x:v>-</x:v>
      </x:c>
      <x:c r="I269" s="13" t="str">
        <x:v>Synthetic example: protected-person/child-safety concern; should be routed for referral and not ordinary mediation.</x:v>
      </x:c>
      <x:c r="J269" s="13" t="str">
        <x:v>Refer</x:v>
      </x:c>
      <x:c r="K269" s="13" t="str">
        <x:v>REFER_VAWC_CHILD_PROTECTION</x:v>
      </x:c>
      <x:c r="L269" s="13" t="str">
        <x:v>Not KP; mandatory safety referral screening</x:v>
      </x:c>
      <x:c r="M269" s="13" t="str">
        <x:v>Refer to VAWC desk/CSWDO/PNP/proper authority; do not mediate as ordinary KP case</x:v>
      </x:c>
      <x:c r="N269" s="13" t="str">
        <x:v>Protected-person or child-safety issue requires referral.</x:v>
      </x:c>
      <x:c r="O269" s="13" t="str"/>
      <x:c r="P269" s="13" t="str">
        <x:v>Reklamo na may emotional abuse sa dating partner</x:v>
      </x:c>
      <x:c r="Q269" s="13" t="str">
        <x:v>Added to balance 'VAWC/child abuse' to 49 examples using the same Justice KP label schema.</x:v>
      </x:c>
      <x:c r="R269" s="13" t="str">
        <x:v>Synthetic row based on category coverage gap from uploaded PDF</x:v>
      </x:c>
    </x:row>
    <x:row r="270" ht="36" customHeight="1">
      <x:c r="A270" s="13" t="str">
        <x:v>SYN-VACC-021</x:v>
      </x:c>
      <x:c r="B270" s="13" t="str">
        <x:v>VAWC/child abuse</x:v>
      </x:c>
      <x:c r="C270" s="13" t="str">
        <x:v>Synthetic</x:v>
      </x:c>
      <x:c r="D270" s="13" t="str"/>
      <x:c r="E270" s="13" t="str">
        <x:v>Referral</x:v>
      </x:c>
      <x:c r="F270" s="13" t="str">
        <x:v>Reklamo na may pananakit sa bata sa loob ng tahanan</x:v>
      </x:c>
      <x:c r="G270" s="13" t="str">
        <x:v>March 9, 2026</x:v>
      </x:c>
      <x:c r="H270" s="13" t="str">
        <x:v>-</x:v>
      </x:c>
      <x:c r="I270" s="13" t="str">
        <x:v>Synthetic example: protected-person/child-safety concern; should be routed for referral and not ordinary mediation.</x:v>
      </x:c>
      <x:c r="J270" s="13" t="str">
        <x:v>Refer</x:v>
      </x:c>
      <x:c r="K270" s="13" t="str">
        <x:v>REFER_VAWC_CHILD_PROTECTION</x:v>
      </x:c>
      <x:c r="L270" s="13" t="str">
        <x:v>Not KP; mandatory safety referral screening</x:v>
      </x:c>
      <x:c r="M270" s="13" t="str">
        <x:v>Refer to VAWC desk/CSWDO/PNP/proper authority; do not mediate as ordinary KP case</x:v>
      </x:c>
      <x:c r="N270" s="13" t="str">
        <x:v>Protected-person or child-safety issue requires referral.</x:v>
      </x:c>
      <x:c r="O270" s="13" t="str"/>
      <x:c r="P270" s="13" t="str">
        <x:v>Reklamo na may pananakit sa bata sa loob ng tahanan</x:v>
      </x:c>
      <x:c r="Q270" s="13" t="str">
        <x:v>Added to balance 'VAWC/child abuse' to 49 examples using the same Justice KP label schema.</x:v>
      </x:c>
      <x:c r="R270" s="13" t="str">
        <x:v>Synthetic row based on category coverage gap from uploaded PDF</x:v>
      </x:c>
    </x:row>
    <x:row r="271" ht="36" customHeight="1">
      <x:c r="A271" s="13" t="str">
        <x:v>SYN-VACC-022</x:v>
      </x:c>
      <x:c r="B271" s="13" t="str">
        <x:v>VAWC/child abuse</x:v>
      </x:c>
      <x:c r="C271" s="13" t="str">
        <x:v>Synthetic</x:v>
      </x:c>
      <x:c r="D271" s="13" t="str"/>
      <x:c r="E271" s="13" t="str">
        <x:v>Referral</x:v>
      </x:c>
      <x:c r="F271" s="13" t="str">
        <x:v>Ulat tungkol sa pagbabanta laban sa dating kinakasama</x:v>
      </x:c>
      <x:c r="G271" s="13" t="str">
        <x:v>March 12, 2026</x:v>
      </x:c>
      <x:c r="H271" s="13" t="str">
        <x:v>-</x:v>
      </x:c>
      <x:c r="I271" s="13" t="str">
        <x:v>Synthetic example: protected-person/child-safety concern; should be routed for referral and not ordinary mediation.</x:v>
      </x:c>
      <x:c r="J271" s="13" t="str">
        <x:v>Refer</x:v>
      </x:c>
      <x:c r="K271" s="13" t="str">
        <x:v>REFER_VAWC_CHILD_PROTECTION</x:v>
      </x:c>
      <x:c r="L271" s="13" t="str">
        <x:v>Not KP; mandatory safety referral screening</x:v>
      </x:c>
      <x:c r="M271" s="13" t="str">
        <x:v>Refer to VAWC desk/CSWDO/PNP/proper authority; do not mediate as ordinary KP case</x:v>
      </x:c>
      <x:c r="N271" s="13" t="str">
        <x:v>Protected-person or child-safety issue requires referral.</x:v>
      </x:c>
      <x:c r="O271" s="13" t="str"/>
      <x:c r="P271" s="13" t="str">
        <x:v>Ulat tungkol sa pagbabanta laban sa dating kinakasama</x:v>
      </x:c>
      <x:c r="Q271" s="13" t="str">
        <x:v>Added to balance 'VAWC/child abuse' to 49 examples using the same Justice KP label schema.</x:v>
      </x:c>
      <x:c r="R271" s="13" t="str">
        <x:v>Synthetic row based on category coverage gap from uploaded PDF</x:v>
      </x:c>
    </x:row>
    <x:row r="272" ht="36" customHeight="1">
      <x:c r="A272" s="13" t="str">
        <x:v>SYN-VACC-023</x:v>
      </x:c>
      <x:c r="B272" s="13" t="str">
        <x:v>VAWC/child abuse</x:v>
      </x:c>
      <x:c r="C272" s="13" t="str">
        <x:v>Synthetic</x:v>
      </x:c>
      <x:c r="D272" s="13" t="str"/>
      <x:c r="E272" s="13" t="str">
        <x:v>Referral</x:v>
      </x:c>
      <x:c r="F272" s="13" t="str">
        <x:v>Paghingi ng tulong dahil may batang takot umuwi sa bahay</x:v>
      </x:c>
      <x:c r="G272" s="13" t="str">
        <x:v>March 15, 2026</x:v>
      </x:c>
      <x:c r="H272" s="13" t="str">
        <x:v>-</x:v>
      </x:c>
      <x:c r="I272" s="13" t="str">
        <x:v>Synthetic example: protected-person/child-safety concern; should be routed for referral and not ordinary mediation.</x:v>
      </x:c>
      <x:c r="J272" s="13" t="str">
        <x:v>Refer</x:v>
      </x:c>
      <x:c r="K272" s="13" t="str">
        <x:v>REFER_VAWC_CHILD_PROTECTION</x:v>
      </x:c>
      <x:c r="L272" s="13" t="str">
        <x:v>Not KP; mandatory safety referral screening</x:v>
      </x:c>
      <x:c r="M272" s="13" t="str">
        <x:v>Refer to VAWC desk/CSWDO/PNP/proper authority; do not mediate as ordinary KP case</x:v>
      </x:c>
      <x:c r="N272" s="13" t="str">
        <x:v>Protected-person or child-safety issue requires referral.</x:v>
      </x:c>
      <x:c r="O272" s="13" t="str"/>
      <x:c r="P272" s="13" t="str">
        <x:v>Paghingi ng tulong dahil may batang takot umuwi sa bahay</x:v>
      </x:c>
      <x:c r="Q272" s="13" t="str">
        <x:v>Added to balance 'VAWC/child abuse' to 49 examples using the same Justice KP label schema.</x:v>
      </x:c>
      <x:c r="R272" s="13" t="str">
        <x:v>Synthetic row based on category coverage gap from uploaded PDF</x:v>
      </x:c>
    </x:row>
    <x:row r="273" ht="36" customHeight="1">
      <x:c r="A273" s="13" t="str">
        <x:v>SYN-VACC-024</x:v>
      </x:c>
      <x:c r="B273" s="13" t="str">
        <x:v>VAWC/child abuse</x:v>
      </x:c>
      <x:c r="C273" s="13" t="str">
        <x:v>Synthetic</x:v>
      </x:c>
      <x:c r="D273" s="13" t="str"/>
      <x:c r="E273" s="13" t="str">
        <x:v>Referral</x:v>
      </x:c>
      <x:c r="F273" s="13" t="str">
        <x:v>Reklamo ng pananakit sa asawa o kinakasama</x:v>
      </x:c>
      <x:c r="G273" s="13" t="str">
        <x:v>March 18, 2026</x:v>
      </x:c>
      <x:c r="H273" s="13" t="str">
        <x:v>-</x:v>
      </x:c>
      <x:c r="I273" s="13" t="str">
        <x:v>Synthetic example: protected-person/child-safety concern; should be routed for referral and not ordinary mediation.</x:v>
      </x:c>
      <x:c r="J273" s="13" t="str">
        <x:v>Refer</x:v>
      </x:c>
      <x:c r="K273" s="13" t="str">
        <x:v>REFER_VAWC_CHILD_PROTECTION</x:v>
      </x:c>
      <x:c r="L273" s="13" t="str">
        <x:v>Not KP; mandatory safety referral screening</x:v>
      </x:c>
      <x:c r="M273" s="13" t="str">
        <x:v>Refer to VAWC desk/CSWDO/PNP/proper authority; do not mediate as ordinary KP case</x:v>
      </x:c>
      <x:c r="N273" s="13" t="str">
        <x:v>Protected-person or child-safety issue requires referral.</x:v>
      </x:c>
      <x:c r="O273" s="13" t="str"/>
      <x:c r="P273" s="13" t="str">
        <x:v>Reklamo ng pananakit sa asawa o kinakasama</x:v>
      </x:c>
      <x:c r="Q273" s="13" t="str">
        <x:v>Added to balance 'VAWC/child abuse' to 49 examples using the same Justice KP label schema.</x:v>
      </x:c>
      <x:c r="R273" s="13" t="str">
        <x:v>Synthetic row based on category coverage gap from uploaded PDF</x:v>
      </x:c>
    </x:row>
    <x:row r="274" ht="36" customHeight="1">
      <x:c r="A274" s="13" t="str">
        <x:v>SYN-VACC-025</x:v>
      </x:c>
      <x:c r="B274" s="13" t="str">
        <x:v>VAWC/child abuse</x:v>
      </x:c>
      <x:c r="C274" s="13" t="str">
        <x:v>Synthetic</x:v>
      </x:c>
      <x:c r="D274" s="13" t="str"/>
      <x:c r="E274" s="13" t="str">
        <x:v>Referral</x:v>
      </x:c>
      <x:c r="F274" s="13" t="str">
        <x:v>Ulat ng harassment sa menor de edad</x:v>
      </x:c>
      <x:c r="G274" s="13" t="str">
        <x:v>March 21, 2026</x:v>
      </x:c>
      <x:c r="H274" s="13" t="str">
        <x:v>-</x:v>
      </x:c>
      <x:c r="I274" s="13" t="str">
        <x:v>Synthetic example: protected-person/child-safety concern; should be routed for referral and not ordinary mediation.</x:v>
      </x:c>
      <x:c r="J274" s="13" t="str">
        <x:v>Refer</x:v>
      </x:c>
      <x:c r="K274" s="13" t="str">
        <x:v>REFER_VAWC_CHILD_PROTECTION</x:v>
      </x:c>
      <x:c r="L274" s="13" t="str">
        <x:v>Not KP; mandatory safety referral screening</x:v>
      </x:c>
      <x:c r="M274" s="13" t="str">
        <x:v>Refer to VAWC desk/CSWDO/PNP/proper authority; do not mediate as ordinary KP case</x:v>
      </x:c>
      <x:c r="N274" s="13" t="str">
        <x:v>Protected-person or child-safety issue requires referral.</x:v>
      </x:c>
      <x:c r="O274" s="13" t="str"/>
      <x:c r="P274" s="13" t="str">
        <x:v>Ulat ng harassment sa menor de edad</x:v>
      </x:c>
      <x:c r="Q274" s="13" t="str">
        <x:v>Added to balance 'VAWC/child abuse' to 49 examples using the same Justice KP label schema.</x:v>
      </x:c>
      <x:c r="R274" s="13" t="str">
        <x:v>Synthetic row based on category coverage gap from uploaded PDF</x:v>
      </x:c>
    </x:row>
    <x:row r="275" ht="36" customHeight="1">
      <x:c r="A275" s="13" t="str">
        <x:v>SYN-VACC-026</x:v>
      </x:c>
      <x:c r="B275" s="13" t="str">
        <x:v>VAWC/child abuse</x:v>
      </x:c>
      <x:c r="C275" s="13" t="str">
        <x:v>Synthetic</x:v>
      </x:c>
      <x:c r="D275" s="13" t="str"/>
      <x:c r="E275" s="13" t="str">
        <x:v>Referral</x:v>
      </x:c>
      <x:c r="F275" s="13" t="str">
        <x:v>Paghingi ng referral para sa child-protection concern</x:v>
      </x:c>
      <x:c r="G275" s="13" t="str">
        <x:v>March 24, 2026</x:v>
      </x:c>
      <x:c r="H275" s="13" t="str">
        <x:v>-</x:v>
      </x:c>
      <x:c r="I275" s="13" t="str">
        <x:v>Synthetic example: protected-person/child-safety concern; should be routed for referral and not ordinary mediation.</x:v>
      </x:c>
      <x:c r="J275" s="13" t="str">
        <x:v>Refer</x:v>
      </x:c>
      <x:c r="K275" s="13" t="str">
        <x:v>REFER_VAWC_CHILD_PROTECTION</x:v>
      </x:c>
      <x:c r="L275" s="13" t="str">
        <x:v>Not KP; mandatory safety referral screening</x:v>
      </x:c>
      <x:c r="M275" s="13" t="str">
        <x:v>Refer to VAWC desk/CSWDO/PNP/proper authority; do not mediate as ordinary KP case</x:v>
      </x:c>
      <x:c r="N275" s="13" t="str">
        <x:v>Protected-person or child-safety issue requires referral.</x:v>
      </x:c>
      <x:c r="O275" s="13" t="str"/>
      <x:c r="P275" s="13" t="str">
        <x:v>Paghingi ng referral para sa child-protection concern</x:v>
      </x:c>
      <x:c r="Q275" s="13" t="str">
        <x:v>Added to balance 'VAWC/child abuse' to 49 examples using the same Justice KP label schema.</x:v>
      </x:c>
      <x:c r="R275" s="13" t="str">
        <x:v>Synthetic row based on category coverage gap from uploaded PDF</x:v>
      </x:c>
    </x:row>
    <x:row r="276" ht="36" customHeight="1">
      <x:c r="A276" s="13" t="str">
        <x:v>SYN-VACC-027</x:v>
      </x:c>
      <x:c r="B276" s="13" t="str">
        <x:v>VAWC/child abuse</x:v>
      </x:c>
      <x:c r="C276" s="13" t="str">
        <x:v>Synthetic</x:v>
      </x:c>
      <x:c r="D276" s="13" t="str"/>
      <x:c r="E276" s="13" t="str">
        <x:v>Referral</x:v>
      </x:c>
      <x:c r="F276" s="13" t="str">
        <x:v>Reklamo sa paulit-ulit na pananakot sa babae sa loob ng bahay</x:v>
      </x:c>
      <x:c r="G276" s="13" t="str">
        <x:v>March 27, 2026</x:v>
      </x:c>
      <x:c r="H276" s="13" t="str">
        <x:v>-</x:v>
      </x:c>
      <x:c r="I276" s="13" t="str">
        <x:v>Synthetic example: protected-person/child-safety concern; should be routed for referral and not ordinary mediation.</x:v>
      </x:c>
      <x:c r="J276" s="13" t="str">
        <x:v>Refer</x:v>
      </x:c>
      <x:c r="K276" s="13" t="str">
        <x:v>REFER_VAWC_CHILD_PROTECTION</x:v>
      </x:c>
      <x:c r="L276" s="13" t="str">
        <x:v>Not KP; mandatory safety referral screening</x:v>
      </x:c>
      <x:c r="M276" s="13" t="str">
        <x:v>Refer to VAWC desk/CSWDO/PNP/proper authority; do not mediate as ordinary KP case</x:v>
      </x:c>
      <x:c r="N276" s="13" t="str">
        <x:v>Protected-person or child-safety issue requires referral.</x:v>
      </x:c>
      <x:c r="O276" s="13" t="str"/>
      <x:c r="P276" s="13" t="str">
        <x:v>Reklamo sa paulit-ulit na pananakot sa babae sa loob ng bahay</x:v>
      </x:c>
      <x:c r="Q276" s="13" t="str">
        <x:v>Added to balance 'VAWC/child abuse' to 49 examples using the same Justice KP label schema.</x:v>
      </x:c>
      <x:c r="R276" s="13" t="str">
        <x:v>Synthetic row based on category coverage gap from uploaded PDF</x:v>
      </x:c>
    </x:row>
    <x:row r="277" ht="36" customHeight="1">
      <x:c r="A277" s="13" t="str">
        <x:v>SYN-VACC-028</x:v>
      </x:c>
      <x:c r="B277" s="13" t="str">
        <x:v>VAWC/child abuse</x:v>
      </x:c>
      <x:c r="C277" s="13" t="str">
        <x:v>Synthetic</x:v>
      </x:c>
      <x:c r="D277" s="13" t="str"/>
      <x:c r="E277" s="13" t="str">
        <x:v>Referral</x:v>
      </x:c>
      <x:c r="F277" s="13" t="str">
        <x:v>Ulat ng kapitbahay tungkol sa posibleng child abuse</x:v>
      </x:c>
      <x:c r="G277" s="13" t="str">
        <x:v>March 30, 2026</x:v>
      </x:c>
      <x:c r="H277" s="13" t="str">
        <x:v>-</x:v>
      </x:c>
      <x:c r="I277" s="13" t="str">
        <x:v>Synthetic example: protected-person/child-safety concern; should be routed for referral and not ordinary mediation.</x:v>
      </x:c>
      <x:c r="J277" s="13" t="str">
        <x:v>Refer</x:v>
      </x:c>
      <x:c r="K277" s="13" t="str">
        <x:v>REFER_VAWC_CHILD_PROTECTION</x:v>
      </x:c>
      <x:c r="L277" s="13" t="str">
        <x:v>Not KP; mandatory safety referral screening</x:v>
      </x:c>
      <x:c r="M277" s="13" t="str">
        <x:v>Refer to VAWC desk/CSWDO/PNP/proper authority; do not mediate as ordinary KP case</x:v>
      </x:c>
      <x:c r="N277" s="13" t="str">
        <x:v>Protected-person or child-safety issue requires referral.</x:v>
      </x:c>
      <x:c r="O277" s="13" t="str"/>
      <x:c r="P277" s="13" t="str">
        <x:v>Ulat ng kapitbahay tungkol sa posibleng child abuse</x:v>
      </x:c>
      <x:c r="Q277" s="13" t="str">
        <x:v>Added to balance 'VAWC/child abuse' to 49 examples using the same Justice KP label schema.</x:v>
      </x:c>
      <x:c r="R277" s="13" t="str">
        <x:v>Synthetic row based on category coverage gap from uploaded PDF</x:v>
      </x:c>
    </x:row>
    <x:row r="278" ht="36" customHeight="1">
      <x:c r="A278" s="13" t="str">
        <x:v>SYN-VACC-029</x:v>
      </x:c>
      <x:c r="B278" s="13" t="str">
        <x:v>VAWC/child abuse</x:v>
      </x:c>
      <x:c r="C278" s="13" t="str">
        <x:v>Synthetic</x:v>
      </x:c>
      <x:c r="D278" s="13" t="str"/>
      <x:c r="E278" s="13" t="str">
        <x:v>Referral</x:v>
      </x:c>
      <x:c r="F278" s="13" t="str">
        <x:v>Paghingi ng tulong sa barangay dahil may banta sa anak</x:v>
      </x:c>
      <x:c r="G278" s="13" t="str">
        <x:v>April 2, 2026</x:v>
      </x:c>
      <x:c r="H278" s="13" t="str">
        <x:v>-</x:v>
      </x:c>
      <x:c r="I278" s="13" t="str">
        <x:v>Synthetic example: protected-person/child-safety concern; should be routed for referral and not ordinary mediation.</x:v>
      </x:c>
      <x:c r="J278" s="13" t="str">
        <x:v>Refer</x:v>
      </x:c>
      <x:c r="K278" s="13" t="str">
        <x:v>REFER_VAWC_CHILD_PROTECTION</x:v>
      </x:c>
      <x:c r="L278" s="13" t="str">
        <x:v>Not KP; mandatory safety referral screening</x:v>
      </x:c>
      <x:c r="M278" s="13" t="str">
        <x:v>Refer to VAWC desk/CSWDO/PNP/proper authority; do not mediate as ordinary KP case</x:v>
      </x:c>
      <x:c r="N278" s="13" t="str">
        <x:v>Protected-person or child-safety issue requires referral.</x:v>
      </x:c>
      <x:c r="O278" s="13" t="str"/>
      <x:c r="P278" s="13" t="str">
        <x:v>Paghingi ng tulong sa barangay dahil may banta sa anak</x:v>
      </x:c>
      <x:c r="Q278" s="13" t="str">
        <x:v>Added to balance 'VAWC/child abuse' to 49 examples using the same Justice KP label schema.</x:v>
      </x:c>
      <x:c r="R278" s="13" t="str">
        <x:v>Synthetic row based on category coverage gap from uploaded PDF</x:v>
      </x:c>
    </x:row>
    <x:row r="279" ht="36" customHeight="1">
      <x:c r="A279" s="13" t="str">
        <x:v>SYN-VACC-030</x:v>
      </x:c>
      <x:c r="B279" s="13" t="str">
        <x:v>VAWC/child abuse</x:v>
      </x:c>
      <x:c r="C279" s="13" t="str">
        <x:v>Synthetic</x:v>
      </x:c>
      <x:c r="D279" s="13" t="str"/>
      <x:c r="E279" s="13" t="str">
        <x:v>Referral</x:v>
      </x:c>
      <x:c r="F279" s="13" t="str">
        <x:v>Reklamo na may emotional abuse sa dating partner</x:v>
      </x:c>
      <x:c r="G279" s="13" t="str">
        <x:v>April 5, 2026</x:v>
      </x:c>
      <x:c r="H279" s="13" t="str">
        <x:v>-</x:v>
      </x:c>
      <x:c r="I279" s="13" t="str">
        <x:v>Synthetic example: protected-person/child-safety concern; should be routed for referral and not ordinary mediation.</x:v>
      </x:c>
      <x:c r="J279" s="13" t="str">
        <x:v>Refer</x:v>
      </x:c>
      <x:c r="K279" s="13" t="str">
        <x:v>REFER_VAWC_CHILD_PROTECTION</x:v>
      </x:c>
      <x:c r="L279" s="13" t="str">
        <x:v>Not KP; mandatory safety referral screening</x:v>
      </x:c>
      <x:c r="M279" s="13" t="str">
        <x:v>Refer to VAWC desk/CSWDO/PNP/proper authority; do not mediate as ordinary KP case</x:v>
      </x:c>
      <x:c r="N279" s="13" t="str">
        <x:v>Protected-person or child-safety issue requires referral.</x:v>
      </x:c>
      <x:c r="O279" s="13" t="str"/>
      <x:c r="P279" s="13" t="str">
        <x:v>Reklamo na may emotional abuse sa dating partner</x:v>
      </x:c>
      <x:c r="Q279" s="13" t="str">
        <x:v>Added to balance 'VAWC/child abuse' to 49 examples using the same Justice KP label schema.</x:v>
      </x:c>
      <x:c r="R279" s="13" t="str">
        <x:v>Synthetic row based on category coverage gap from uploaded PDF</x:v>
      </x:c>
    </x:row>
    <x:row r="280" ht="36" customHeight="1">
      <x:c r="A280" s="13" t="str">
        <x:v>SYN-VACC-031</x:v>
      </x:c>
      <x:c r="B280" s="13" t="str">
        <x:v>VAWC/child abuse</x:v>
      </x:c>
      <x:c r="C280" s="13" t="str">
        <x:v>Synthetic</x:v>
      </x:c>
      <x:c r="D280" s="13" t="str"/>
      <x:c r="E280" s="13" t="str">
        <x:v>Referral</x:v>
      </x:c>
      <x:c r="F280" s="13" t="str">
        <x:v>Reklamo na may pananakit sa bata sa loob ng tahanan</x:v>
      </x:c>
      <x:c r="G280" s="13" t="str">
        <x:v>April 8, 2026</x:v>
      </x:c>
      <x:c r="H280" s="13" t="str">
        <x:v>-</x:v>
      </x:c>
      <x:c r="I280" s="13" t="str">
        <x:v>Synthetic example: protected-person/child-safety concern; should be routed for referral and not ordinary mediation.</x:v>
      </x:c>
      <x:c r="J280" s="13" t="str">
        <x:v>Refer</x:v>
      </x:c>
      <x:c r="K280" s="13" t="str">
        <x:v>REFER_VAWC_CHILD_PROTECTION</x:v>
      </x:c>
      <x:c r="L280" s="13" t="str">
        <x:v>Not KP; mandatory safety referral screening</x:v>
      </x:c>
      <x:c r="M280" s="13" t="str">
        <x:v>Refer to VAWC desk/CSWDO/PNP/proper authority; do not mediate as ordinary KP case</x:v>
      </x:c>
      <x:c r="N280" s="13" t="str">
        <x:v>Protected-person or child-safety issue requires referral.</x:v>
      </x:c>
      <x:c r="O280" s="13" t="str"/>
      <x:c r="P280" s="13" t="str">
        <x:v>Reklamo na may pananakit sa bata sa loob ng tahanan</x:v>
      </x:c>
      <x:c r="Q280" s="13" t="str">
        <x:v>Added to balance 'VAWC/child abuse' to 49 examples using the same Justice KP label schema.</x:v>
      </x:c>
      <x:c r="R280" s="13" t="str">
        <x:v>Synthetic row based on category coverage gap from uploaded PDF</x:v>
      </x:c>
    </x:row>
    <x:row r="281" ht="36" customHeight="1">
      <x:c r="A281" s="13" t="str">
        <x:v>SYN-VACC-032</x:v>
      </x:c>
      <x:c r="B281" s="13" t="str">
        <x:v>VAWC/child abuse</x:v>
      </x:c>
      <x:c r="C281" s="13" t="str">
        <x:v>Synthetic</x:v>
      </x:c>
      <x:c r="D281" s="13" t="str"/>
      <x:c r="E281" s="13" t="str">
        <x:v>Referral</x:v>
      </x:c>
      <x:c r="F281" s="13" t="str">
        <x:v>Ulat tungkol sa pagbabanta laban sa dating kinakasama</x:v>
      </x:c>
      <x:c r="G281" s="13" t="str">
        <x:v>April 11, 2026</x:v>
      </x:c>
      <x:c r="H281" s="13" t="str">
        <x:v>-</x:v>
      </x:c>
      <x:c r="I281" s="13" t="str">
        <x:v>Synthetic example: protected-person/child-safety concern; should be routed for referral and not ordinary mediation.</x:v>
      </x:c>
      <x:c r="J281" s="13" t="str">
        <x:v>Refer</x:v>
      </x:c>
      <x:c r="K281" s="13" t="str">
        <x:v>REFER_VAWC_CHILD_PROTECTION</x:v>
      </x:c>
      <x:c r="L281" s="13" t="str">
        <x:v>Not KP; mandatory safety referral screening</x:v>
      </x:c>
      <x:c r="M281" s="13" t="str">
        <x:v>Refer to VAWC desk/CSWDO/PNP/proper authority; do not mediate as ordinary KP case</x:v>
      </x:c>
      <x:c r="N281" s="13" t="str">
        <x:v>Protected-person or child-safety issue requires referral.</x:v>
      </x:c>
      <x:c r="O281" s="13" t="str"/>
      <x:c r="P281" s="13" t="str">
        <x:v>Ulat tungkol sa pagbabanta laban sa dating kinakasama</x:v>
      </x:c>
      <x:c r="Q281" s="13" t="str">
        <x:v>Added to balance 'VAWC/child abuse' to 49 examples using the same Justice KP label schema.</x:v>
      </x:c>
      <x:c r="R281" s="13" t="str">
        <x:v>Synthetic row based on category coverage gap from uploaded PDF</x:v>
      </x:c>
    </x:row>
    <x:row r="282" ht="36" customHeight="1">
      <x:c r="A282" s="13" t="str">
        <x:v>SYN-VACC-033</x:v>
      </x:c>
      <x:c r="B282" s="13" t="str">
        <x:v>VAWC/child abuse</x:v>
      </x:c>
      <x:c r="C282" s="13" t="str">
        <x:v>Synthetic</x:v>
      </x:c>
      <x:c r="D282" s="13" t="str"/>
      <x:c r="E282" s="13" t="str">
        <x:v>Referral</x:v>
      </x:c>
      <x:c r="F282" s="13" t="str">
        <x:v>Paghingi ng tulong dahil may batang takot umuwi sa bahay</x:v>
      </x:c>
      <x:c r="G282" s="13" t="str">
        <x:v>April 14, 2026</x:v>
      </x:c>
      <x:c r="H282" s="13" t="str">
        <x:v>-</x:v>
      </x:c>
      <x:c r="I282" s="13" t="str">
        <x:v>Synthetic example: protected-person/child-safety concern; should be routed for referral and not ordinary mediation.</x:v>
      </x:c>
      <x:c r="J282" s="13" t="str">
        <x:v>Refer</x:v>
      </x:c>
      <x:c r="K282" s="13" t="str">
        <x:v>REFER_VAWC_CHILD_PROTECTION</x:v>
      </x:c>
      <x:c r="L282" s="13" t="str">
        <x:v>Not KP; mandatory safety referral screening</x:v>
      </x:c>
      <x:c r="M282" s="13" t="str">
        <x:v>Refer to VAWC desk/CSWDO/PNP/proper authority; do not mediate as ordinary KP case</x:v>
      </x:c>
      <x:c r="N282" s="13" t="str">
        <x:v>Protected-person or child-safety issue requires referral.</x:v>
      </x:c>
      <x:c r="O282" s="13" t="str"/>
      <x:c r="P282" s="13" t="str">
        <x:v>Paghingi ng tulong dahil may batang takot umuwi sa bahay</x:v>
      </x:c>
      <x:c r="Q282" s="13" t="str">
        <x:v>Added to balance 'VAWC/child abuse' to 49 examples using the same Justice KP label schema.</x:v>
      </x:c>
      <x:c r="R282" s="13" t="str">
        <x:v>Synthetic row based on category coverage gap from uploaded PDF</x:v>
      </x:c>
    </x:row>
    <x:row r="283" ht="36" customHeight="1">
      <x:c r="A283" s="13" t="str">
        <x:v>SYN-VACC-034</x:v>
      </x:c>
      <x:c r="B283" s="13" t="str">
        <x:v>VAWC/child abuse</x:v>
      </x:c>
      <x:c r="C283" s="13" t="str">
        <x:v>Synthetic</x:v>
      </x:c>
      <x:c r="D283" s="13" t="str"/>
      <x:c r="E283" s="13" t="str">
        <x:v>Referral</x:v>
      </x:c>
      <x:c r="F283" s="13" t="str">
        <x:v>Reklamo ng pananakit sa asawa o kinakasama</x:v>
      </x:c>
      <x:c r="G283" s="13" t="str">
        <x:v>April 17, 2026</x:v>
      </x:c>
      <x:c r="H283" s="13" t="str">
        <x:v>-</x:v>
      </x:c>
      <x:c r="I283" s="13" t="str">
        <x:v>Synthetic example: protected-person/child-safety concern; should be routed for referral and not ordinary mediation.</x:v>
      </x:c>
      <x:c r="J283" s="13" t="str">
        <x:v>Refer</x:v>
      </x:c>
      <x:c r="K283" s="13" t="str">
        <x:v>REFER_VAWC_CHILD_PROTECTION</x:v>
      </x:c>
      <x:c r="L283" s="13" t="str">
        <x:v>Not KP; mandatory safety referral screening</x:v>
      </x:c>
      <x:c r="M283" s="13" t="str">
        <x:v>Refer to VAWC desk/CSWDO/PNP/proper authority; do not mediate as ordinary KP case</x:v>
      </x:c>
      <x:c r="N283" s="13" t="str">
        <x:v>Protected-person or child-safety issue requires referral.</x:v>
      </x:c>
      <x:c r="O283" s="13" t="str"/>
      <x:c r="P283" s="13" t="str">
        <x:v>Reklamo ng pananakit sa asawa o kinakasama</x:v>
      </x:c>
      <x:c r="Q283" s="13" t="str">
        <x:v>Added to balance 'VAWC/child abuse' to 49 examples using the same Justice KP label schema.</x:v>
      </x:c>
      <x:c r="R283" s="13" t="str">
        <x:v>Synthetic row based on category coverage gap from uploaded PDF</x:v>
      </x:c>
    </x:row>
    <x:row r="284" ht="36" customHeight="1">
      <x:c r="A284" s="13" t="str">
        <x:v>SYN-VACC-035</x:v>
      </x:c>
      <x:c r="B284" s="13" t="str">
        <x:v>VAWC/child abuse</x:v>
      </x:c>
      <x:c r="C284" s="13" t="str">
        <x:v>Synthetic</x:v>
      </x:c>
      <x:c r="D284" s="13" t="str"/>
      <x:c r="E284" s="13" t="str">
        <x:v>Referral</x:v>
      </x:c>
      <x:c r="F284" s="13" t="str">
        <x:v>Ulat ng harassment sa menor de edad</x:v>
      </x:c>
      <x:c r="G284" s="13" t="str">
        <x:v>April 20, 2026</x:v>
      </x:c>
      <x:c r="H284" s="13" t="str">
        <x:v>-</x:v>
      </x:c>
      <x:c r="I284" s="13" t="str">
        <x:v>Synthetic example: protected-person/child-safety concern; should be routed for referral and not ordinary mediation.</x:v>
      </x:c>
      <x:c r="J284" s="13" t="str">
        <x:v>Refer</x:v>
      </x:c>
      <x:c r="K284" s="13" t="str">
        <x:v>REFER_VAWC_CHILD_PROTECTION</x:v>
      </x:c>
      <x:c r="L284" s="13" t="str">
        <x:v>Not KP; mandatory safety referral screening</x:v>
      </x:c>
      <x:c r="M284" s="13" t="str">
        <x:v>Refer to VAWC desk/CSWDO/PNP/proper authority; do not mediate as ordinary KP case</x:v>
      </x:c>
      <x:c r="N284" s="13" t="str">
        <x:v>Protected-person or child-safety issue requires referral.</x:v>
      </x:c>
      <x:c r="O284" s="13" t="str"/>
      <x:c r="P284" s="13" t="str">
        <x:v>Ulat ng harassment sa menor de edad</x:v>
      </x:c>
      <x:c r="Q284" s="13" t="str">
        <x:v>Added to balance 'VAWC/child abuse' to 49 examples using the same Justice KP label schema.</x:v>
      </x:c>
      <x:c r="R284" s="13" t="str">
        <x:v>Synthetic row based on category coverage gap from uploaded PDF</x:v>
      </x:c>
    </x:row>
    <x:row r="285" ht="36" customHeight="1">
      <x:c r="A285" s="13" t="str">
        <x:v>SYN-VACC-036</x:v>
      </x:c>
      <x:c r="B285" s="13" t="str">
        <x:v>VAWC/child abuse</x:v>
      </x:c>
      <x:c r="C285" s="13" t="str">
        <x:v>Synthetic</x:v>
      </x:c>
      <x:c r="D285" s="13" t="str"/>
      <x:c r="E285" s="13" t="str">
        <x:v>Referral</x:v>
      </x:c>
      <x:c r="F285" s="13" t="str">
        <x:v>Paghingi ng referral para sa child-protection concern</x:v>
      </x:c>
      <x:c r="G285" s="13" t="str">
        <x:v>April 23, 2026</x:v>
      </x:c>
      <x:c r="H285" s="13" t="str">
        <x:v>-</x:v>
      </x:c>
      <x:c r="I285" s="13" t="str">
        <x:v>Synthetic example: protected-person/child-safety concern; should be routed for referral and not ordinary mediation.</x:v>
      </x:c>
      <x:c r="J285" s="13" t="str">
        <x:v>Refer</x:v>
      </x:c>
      <x:c r="K285" s="13" t="str">
        <x:v>REFER_VAWC_CHILD_PROTECTION</x:v>
      </x:c>
      <x:c r="L285" s="13" t="str">
        <x:v>Not KP; mandatory safety referral screening</x:v>
      </x:c>
      <x:c r="M285" s="13" t="str">
        <x:v>Refer to VAWC desk/CSWDO/PNP/proper authority; do not mediate as ordinary KP case</x:v>
      </x:c>
      <x:c r="N285" s="13" t="str">
        <x:v>Protected-person or child-safety issue requires referral.</x:v>
      </x:c>
      <x:c r="O285" s="13" t="str"/>
      <x:c r="P285" s="13" t="str">
        <x:v>Paghingi ng referral para sa child-protection concern</x:v>
      </x:c>
      <x:c r="Q285" s="13" t="str">
        <x:v>Added to balance 'VAWC/child abuse' to 49 examples using the same Justice KP label schema.</x:v>
      </x:c>
      <x:c r="R285" s="13" t="str">
        <x:v>Synthetic row based on category coverage gap from uploaded PDF</x:v>
      </x:c>
    </x:row>
    <x:row r="286" ht="36" customHeight="1">
      <x:c r="A286" s="13" t="str">
        <x:v>SYN-VACC-037</x:v>
      </x:c>
      <x:c r="B286" s="13" t="str">
        <x:v>VAWC/child abuse</x:v>
      </x:c>
      <x:c r="C286" s="13" t="str">
        <x:v>Synthetic</x:v>
      </x:c>
      <x:c r="D286" s="13" t="str"/>
      <x:c r="E286" s="13" t="str">
        <x:v>Referral</x:v>
      </x:c>
      <x:c r="F286" s="13" t="str">
        <x:v>Reklamo sa paulit-ulit na pananakot sa babae sa loob ng bahay</x:v>
      </x:c>
      <x:c r="G286" s="13" t="str">
        <x:v>April 26, 2026</x:v>
      </x:c>
      <x:c r="H286" s="13" t="str">
        <x:v>-</x:v>
      </x:c>
      <x:c r="I286" s="13" t="str">
        <x:v>Synthetic example: protected-person/child-safety concern; should be routed for referral and not ordinary mediation.</x:v>
      </x:c>
      <x:c r="J286" s="13" t="str">
        <x:v>Refer</x:v>
      </x:c>
      <x:c r="K286" s="13" t="str">
        <x:v>REFER_VAWC_CHILD_PROTECTION</x:v>
      </x:c>
      <x:c r="L286" s="13" t="str">
        <x:v>Not KP; mandatory safety referral screening</x:v>
      </x:c>
      <x:c r="M286" s="13" t="str">
        <x:v>Refer to VAWC desk/CSWDO/PNP/proper authority; do not mediate as ordinary KP case</x:v>
      </x:c>
      <x:c r="N286" s="13" t="str">
        <x:v>Protected-person or child-safety issue requires referral.</x:v>
      </x:c>
      <x:c r="O286" s="13" t="str"/>
      <x:c r="P286" s="13" t="str">
        <x:v>Reklamo sa paulit-ulit na pananakot sa babae sa loob ng bahay</x:v>
      </x:c>
      <x:c r="Q286" s="13" t="str">
        <x:v>Added to balance 'VAWC/child abuse' to 49 examples using the same Justice KP label schema.</x:v>
      </x:c>
      <x:c r="R286" s="13" t="str">
        <x:v>Synthetic row based on category coverage gap from uploaded PDF</x:v>
      </x:c>
    </x:row>
    <x:row r="287" ht="36" customHeight="1">
      <x:c r="A287" s="13" t="str">
        <x:v>SYN-VACC-038</x:v>
      </x:c>
      <x:c r="B287" s="13" t="str">
        <x:v>VAWC/child abuse</x:v>
      </x:c>
      <x:c r="C287" s="13" t="str">
        <x:v>Synthetic</x:v>
      </x:c>
      <x:c r="D287" s="13" t="str"/>
      <x:c r="E287" s="13" t="str">
        <x:v>Referral</x:v>
      </x:c>
      <x:c r="F287" s="13" t="str">
        <x:v>Ulat ng kapitbahay tungkol sa posibleng child abuse</x:v>
      </x:c>
      <x:c r="G287" s="13" t="str">
        <x:v>April 29, 2026</x:v>
      </x:c>
      <x:c r="H287" s="13" t="str">
        <x:v>-</x:v>
      </x:c>
      <x:c r="I287" s="13" t="str">
        <x:v>Synthetic example: protected-person/child-safety concern; should be routed for referral and not ordinary mediation.</x:v>
      </x:c>
      <x:c r="J287" s="13" t="str">
        <x:v>Refer</x:v>
      </x:c>
      <x:c r="K287" s="13" t="str">
        <x:v>REFER_VAWC_CHILD_PROTECTION</x:v>
      </x:c>
      <x:c r="L287" s="13" t="str">
        <x:v>Not KP; mandatory safety referral screening</x:v>
      </x:c>
      <x:c r="M287" s="13" t="str">
        <x:v>Refer to VAWC desk/CSWDO/PNP/proper authority; do not mediate as ordinary KP case</x:v>
      </x:c>
      <x:c r="N287" s="13" t="str">
        <x:v>Protected-person or child-safety issue requires referral.</x:v>
      </x:c>
      <x:c r="O287" s="13" t="str"/>
      <x:c r="P287" s="13" t="str">
        <x:v>Ulat ng kapitbahay tungkol sa posibleng child abuse</x:v>
      </x:c>
      <x:c r="Q287" s="13" t="str">
        <x:v>Added to balance 'VAWC/child abuse' to 49 examples using the same Justice KP label schema.</x:v>
      </x:c>
      <x:c r="R287" s="13" t="str">
        <x:v>Synthetic row based on category coverage gap from uploaded PDF</x:v>
      </x:c>
    </x:row>
    <x:row r="288" ht="36" customHeight="1">
      <x:c r="A288" s="13" t="str">
        <x:v>SYN-VACC-039</x:v>
      </x:c>
      <x:c r="B288" s="13" t="str">
        <x:v>VAWC/child abuse</x:v>
      </x:c>
      <x:c r="C288" s="13" t="str">
        <x:v>Synthetic</x:v>
      </x:c>
      <x:c r="D288" s="13" t="str"/>
      <x:c r="E288" s="13" t="str">
        <x:v>Referral</x:v>
      </x:c>
      <x:c r="F288" s="13" t="str">
        <x:v>Paghingi ng tulong sa barangay dahil may banta sa anak</x:v>
      </x:c>
      <x:c r="G288" s="13" t="str">
        <x:v>May 2, 2026</x:v>
      </x:c>
      <x:c r="H288" s="13" t="str">
        <x:v>-</x:v>
      </x:c>
      <x:c r="I288" s="13" t="str">
        <x:v>Synthetic example: protected-person/child-safety concern; should be routed for referral and not ordinary mediation.</x:v>
      </x:c>
      <x:c r="J288" s="13" t="str">
        <x:v>Refer</x:v>
      </x:c>
      <x:c r="K288" s="13" t="str">
        <x:v>REFER_VAWC_CHILD_PROTECTION</x:v>
      </x:c>
      <x:c r="L288" s="13" t="str">
        <x:v>Not KP; mandatory safety referral screening</x:v>
      </x:c>
      <x:c r="M288" s="13" t="str">
        <x:v>Refer to VAWC desk/CSWDO/PNP/proper authority; do not mediate as ordinary KP case</x:v>
      </x:c>
      <x:c r="N288" s="13" t="str">
        <x:v>Protected-person or child-safety issue requires referral.</x:v>
      </x:c>
      <x:c r="O288" s="13" t="str"/>
      <x:c r="P288" s="13" t="str">
        <x:v>Paghingi ng tulong sa barangay dahil may banta sa anak</x:v>
      </x:c>
      <x:c r="Q288" s="13" t="str">
        <x:v>Added to balance 'VAWC/child abuse' to 49 examples using the same Justice KP label schema.</x:v>
      </x:c>
      <x:c r="R288" s="13" t="str">
        <x:v>Synthetic row based on category coverage gap from uploaded PDF</x:v>
      </x:c>
    </x:row>
    <x:row r="289" ht="36" customHeight="1">
      <x:c r="A289" s="13" t="str">
        <x:v>SYN-VACC-040</x:v>
      </x:c>
      <x:c r="B289" s="13" t="str">
        <x:v>VAWC/child abuse</x:v>
      </x:c>
      <x:c r="C289" s="13" t="str">
        <x:v>Synthetic</x:v>
      </x:c>
      <x:c r="D289" s="13" t="str"/>
      <x:c r="E289" s="13" t="str">
        <x:v>Referral</x:v>
      </x:c>
      <x:c r="F289" s="13" t="str">
        <x:v>Reklamo na may emotional abuse sa dating partner</x:v>
      </x:c>
      <x:c r="G289" s="13" t="str">
        <x:v>May 5, 2026</x:v>
      </x:c>
      <x:c r="H289" s="13" t="str">
        <x:v>-</x:v>
      </x:c>
      <x:c r="I289" s="13" t="str">
        <x:v>Synthetic example: protected-person/child-safety concern; should be routed for referral and not ordinary mediation.</x:v>
      </x:c>
      <x:c r="J289" s="13" t="str">
        <x:v>Refer</x:v>
      </x:c>
      <x:c r="K289" s="13" t="str">
        <x:v>REFER_VAWC_CHILD_PROTECTION</x:v>
      </x:c>
      <x:c r="L289" s="13" t="str">
        <x:v>Not KP; mandatory safety referral screening</x:v>
      </x:c>
      <x:c r="M289" s="13" t="str">
        <x:v>Refer to VAWC desk/CSWDO/PNP/proper authority; do not mediate as ordinary KP case</x:v>
      </x:c>
      <x:c r="N289" s="13" t="str">
        <x:v>Protected-person or child-safety issue requires referral.</x:v>
      </x:c>
      <x:c r="O289" s="13" t="str"/>
      <x:c r="P289" s="13" t="str">
        <x:v>Reklamo na may emotional abuse sa dating partner</x:v>
      </x:c>
      <x:c r="Q289" s="13" t="str">
        <x:v>Added to balance 'VAWC/child abuse' to 49 examples using the same Justice KP label schema.</x:v>
      </x:c>
      <x:c r="R289" s="13" t="str">
        <x:v>Synthetic row based on category coverage gap from uploaded PDF</x:v>
      </x:c>
    </x:row>
    <x:row r="290" ht="36" customHeight="1">
      <x:c r="A290" s="13" t="str">
        <x:v>SYN-VACC-041</x:v>
      </x:c>
      <x:c r="B290" s="13" t="str">
        <x:v>VAWC/child abuse</x:v>
      </x:c>
      <x:c r="C290" s="13" t="str">
        <x:v>Synthetic</x:v>
      </x:c>
      <x:c r="D290" s="13" t="str"/>
      <x:c r="E290" s="13" t="str">
        <x:v>Referral</x:v>
      </x:c>
      <x:c r="F290" s="13" t="str">
        <x:v>Reklamo na may pananakit sa bata sa loob ng tahanan</x:v>
      </x:c>
      <x:c r="G290" s="13" t="str">
        <x:v>May 8, 2026</x:v>
      </x:c>
      <x:c r="H290" s="13" t="str">
        <x:v>-</x:v>
      </x:c>
      <x:c r="I290" s="13" t="str">
        <x:v>Synthetic example: protected-person/child-safety concern; should be routed for referral and not ordinary mediation.</x:v>
      </x:c>
      <x:c r="J290" s="13" t="str">
        <x:v>Refer</x:v>
      </x:c>
      <x:c r="K290" s="13" t="str">
        <x:v>REFER_VAWC_CHILD_PROTECTION</x:v>
      </x:c>
      <x:c r="L290" s="13" t="str">
        <x:v>Not KP; mandatory safety referral screening</x:v>
      </x:c>
      <x:c r="M290" s="13" t="str">
        <x:v>Refer to VAWC desk/CSWDO/PNP/proper authority; do not mediate as ordinary KP case</x:v>
      </x:c>
      <x:c r="N290" s="13" t="str">
        <x:v>Protected-person or child-safety issue requires referral.</x:v>
      </x:c>
      <x:c r="O290" s="13" t="str"/>
      <x:c r="P290" s="13" t="str">
        <x:v>Reklamo na may pananakit sa bata sa loob ng tahanan</x:v>
      </x:c>
      <x:c r="Q290" s="13" t="str">
        <x:v>Added to balance 'VAWC/child abuse' to 49 examples using the same Justice KP label schema.</x:v>
      </x:c>
      <x:c r="R290" s="13" t="str">
        <x:v>Synthetic row based on category coverage gap from uploaded PDF</x:v>
      </x:c>
    </x:row>
    <x:row r="291" ht="36" customHeight="1">
      <x:c r="A291" s="13" t="str">
        <x:v>SYN-VACC-042</x:v>
      </x:c>
      <x:c r="B291" s="13" t="str">
        <x:v>VAWC/child abuse</x:v>
      </x:c>
      <x:c r="C291" s="13" t="str">
        <x:v>Synthetic</x:v>
      </x:c>
      <x:c r="D291" s="13" t="str"/>
      <x:c r="E291" s="13" t="str">
        <x:v>Referral</x:v>
      </x:c>
      <x:c r="F291" s="13" t="str">
        <x:v>Ulat tungkol sa pagbabanta laban sa dating kinakasama</x:v>
      </x:c>
      <x:c r="G291" s="13" t="str">
        <x:v>May 11, 2026</x:v>
      </x:c>
      <x:c r="H291" s="13" t="str">
        <x:v>-</x:v>
      </x:c>
      <x:c r="I291" s="13" t="str">
        <x:v>Synthetic example: protected-person/child-safety concern; should be routed for referral and not ordinary mediation.</x:v>
      </x:c>
      <x:c r="J291" s="13" t="str">
        <x:v>Refer</x:v>
      </x:c>
      <x:c r="K291" s="13" t="str">
        <x:v>REFER_VAWC_CHILD_PROTECTION</x:v>
      </x:c>
      <x:c r="L291" s="13" t="str">
        <x:v>Not KP; mandatory safety referral screening</x:v>
      </x:c>
      <x:c r="M291" s="13" t="str">
        <x:v>Refer to VAWC desk/CSWDO/PNP/proper authority; do not mediate as ordinary KP case</x:v>
      </x:c>
      <x:c r="N291" s="13" t="str">
        <x:v>Protected-person or child-safety issue requires referral.</x:v>
      </x:c>
      <x:c r="O291" s="13" t="str"/>
      <x:c r="P291" s="13" t="str">
        <x:v>Ulat tungkol sa pagbabanta laban sa dating kinakasama</x:v>
      </x:c>
      <x:c r="Q291" s="13" t="str">
        <x:v>Added to balance 'VAWC/child abuse' to 49 examples using the same Justice KP label schema.</x:v>
      </x:c>
      <x:c r="R291" s="13" t="str">
        <x:v>Synthetic row based on category coverage gap from uploaded PDF</x:v>
      </x:c>
    </x:row>
    <x:row r="292" ht="36" customHeight="1">
      <x:c r="A292" s="13" t="str">
        <x:v>SYN-VACC-043</x:v>
      </x:c>
      <x:c r="B292" s="13" t="str">
        <x:v>VAWC/child abuse</x:v>
      </x:c>
      <x:c r="C292" s="13" t="str">
        <x:v>Synthetic</x:v>
      </x:c>
      <x:c r="D292" s="13" t="str"/>
      <x:c r="E292" s="13" t="str">
        <x:v>Referral</x:v>
      </x:c>
      <x:c r="F292" s="13" t="str">
        <x:v>Paghingi ng tulong dahil may batang takot umuwi sa bahay</x:v>
      </x:c>
      <x:c r="G292" s="13" t="str">
        <x:v>May 14, 2026</x:v>
      </x:c>
      <x:c r="H292" s="13" t="str">
        <x:v>-</x:v>
      </x:c>
      <x:c r="I292" s="13" t="str">
        <x:v>Synthetic example: protected-person/child-safety concern; should be routed for referral and not ordinary mediation.</x:v>
      </x:c>
      <x:c r="J292" s="13" t="str">
        <x:v>Refer</x:v>
      </x:c>
      <x:c r="K292" s="13" t="str">
        <x:v>REFER_VAWC_CHILD_PROTECTION</x:v>
      </x:c>
      <x:c r="L292" s="13" t="str">
        <x:v>Not KP; mandatory safety referral screening</x:v>
      </x:c>
      <x:c r="M292" s="13" t="str">
        <x:v>Refer to VAWC desk/CSWDO/PNP/proper authority; do not mediate as ordinary KP case</x:v>
      </x:c>
      <x:c r="N292" s="13" t="str">
        <x:v>Protected-person or child-safety issue requires referral.</x:v>
      </x:c>
      <x:c r="O292" s="13" t="str"/>
      <x:c r="P292" s="13" t="str">
        <x:v>Paghingi ng tulong dahil may batang takot umuwi sa bahay</x:v>
      </x:c>
      <x:c r="Q292" s="13" t="str">
        <x:v>Added to balance 'VAWC/child abuse' to 49 examples using the same Justice KP label schema.</x:v>
      </x:c>
      <x:c r="R292" s="13" t="str">
        <x:v>Synthetic row based on category coverage gap from uploaded PDF</x:v>
      </x:c>
    </x:row>
    <x:row r="293" ht="36" customHeight="1">
      <x:c r="A293" s="13" t="str">
        <x:v>SYN-VACC-044</x:v>
      </x:c>
      <x:c r="B293" s="13" t="str">
        <x:v>VAWC/child abuse</x:v>
      </x:c>
      <x:c r="C293" s="13" t="str">
        <x:v>Synthetic</x:v>
      </x:c>
      <x:c r="D293" s="13" t="str"/>
      <x:c r="E293" s="13" t="str">
        <x:v>Referral</x:v>
      </x:c>
      <x:c r="F293" s="13" t="str">
        <x:v>Reklamo ng pananakit sa asawa o kinakasama</x:v>
      </x:c>
      <x:c r="G293" s="13" t="str">
        <x:v>May 17, 2026</x:v>
      </x:c>
      <x:c r="H293" s="13" t="str">
        <x:v>-</x:v>
      </x:c>
      <x:c r="I293" s="13" t="str">
        <x:v>Synthetic example: protected-person/child-safety concern; should be routed for referral and not ordinary mediation.</x:v>
      </x:c>
      <x:c r="J293" s="13" t="str">
        <x:v>Refer</x:v>
      </x:c>
      <x:c r="K293" s="13" t="str">
        <x:v>REFER_VAWC_CHILD_PROTECTION</x:v>
      </x:c>
      <x:c r="L293" s="13" t="str">
        <x:v>Not KP; mandatory safety referral screening</x:v>
      </x:c>
      <x:c r="M293" s="13" t="str">
        <x:v>Refer to VAWC desk/CSWDO/PNP/proper authority; do not mediate as ordinary KP case</x:v>
      </x:c>
      <x:c r="N293" s="13" t="str">
        <x:v>Protected-person or child-safety issue requires referral.</x:v>
      </x:c>
      <x:c r="O293" s="13" t="str"/>
      <x:c r="P293" s="13" t="str">
        <x:v>Reklamo ng pananakit sa asawa o kinakasama</x:v>
      </x:c>
      <x:c r="Q293" s="13" t="str">
        <x:v>Added to balance 'VAWC/child abuse' to 49 examples using the same Justice KP label schema.</x:v>
      </x:c>
      <x:c r="R293" s="13" t="str">
        <x:v>Synthetic row based on category coverage gap from uploaded PDF</x:v>
      </x:c>
    </x:row>
    <x:row r="294" ht="36" customHeight="1">
      <x:c r="A294" s="13" t="str">
        <x:v>SYN-VACC-045</x:v>
      </x:c>
      <x:c r="B294" s="13" t="str">
        <x:v>VAWC/child abuse</x:v>
      </x:c>
      <x:c r="C294" s="13" t="str">
        <x:v>Synthetic</x:v>
      </x:c>
      <x:c r="D294" s="13" t="str"/>
      <x:c r="E294" s="13" t="str">
        <x:v>Referral</x:v>
      </x:c>
      <x:c r="F294" s="13" t="str">
        <x:v>Ulat ng harassment sa menor de edad</x:v>
      </x:c>
      <x:c r="G294" s="13" t="str">
        <x:v>May 20, 2026</x:v>
      </x:c>
      <x:c r="H294" s="13" t="str">
        <x:v>-</x:v>
      </x:c>
      <x:c r="I294" s="13" t="str">
        <x:v>Synthetic example: protected-person/child-safety concern; should be routed for referral and not ordinary mediation.</x:v>
      </x:c>
      <x:c r="J294" s="13" t="str">
        <x:v>Refer</x:v>
      </x:c>
      <x:c r="K294" s="13" t="str">
        <x:v>REFER_VAWC_CHILD_PROTECTION</x:v>
      </x:c>
      <x:c r="L294" s="13" t="str">
        <x:v>Not KP; mandatory safety referral screening</x:v>
      </x:c>
      <x:c r="M294" s="13" t="str">
        <x:v>Refer to VAWC desk/CSWDO/PNP/proper authority; do not mediate as ordinary KP case</x:v>
      </x:c>
      <x:c r="N294" s="13" t="str">
        <x:v>Protected-person or child-safety issue requires referral.</x:v>
      </x:c>
      <x:c r="O294" s="13" t="str"/>
      <x:c r="P294" s="13" t="str">
        <x:v>Ulat ng harassment sa menor de edad</x:v>
      </x:c>
      <x:c r="Q294" s="13" t="str">
        <x:v>Added to balance 'VAWC/child abuse' to 49 examples using the same Justice KP label schema.</x:v>
      </x:c>
      <x:c r="R294" s="13" t="str">
        <x:v>Synthetic row based on category coverage gap from uploaded PDF</x:v>
      </x:c>
    </x:row>
    <x:row r="295" ht="36" customHeight="1">
      <x:c r="A295" s="13" t="str">
        <x:v>SYN-VACC-046</x:v>
      </x:c>
      <x:c r="B295" s="13" t="str">
        <x:v>VAWC/child abuse</x:v>
      </x:c>
      <x:c r="C295" s="13" t="str">
        <x:v>Synthetic</x:v>
      </x:c>
      <x:c r="D295" s="13" t="str"/>
      <x:c r="E295" s="13" t="str">
        <x:v>Referral</x:v>
      </x:c>
      <x:c r="F295" s="13" t="str">
        <x:v>Paghingi ng referral para sa child-protection concern</x:v>
      </x:c>
      <x:c r="G295" s="13" t="str">
        <x:v>May 23, 2026</x:v>
      </x:c>
      <x:c r="H295" s="13" t="str">
        <x:v>-</x:v>
      </x:c>
      <x:c r="I295" s="13" t="str">
        <x:v>Synthetic example: protected-person/child-safety concern; should be routed for referral and not ordinary mediation.</x:v>
      </x:c>
      <x:c r="J295" s="13" t="str">
        <x:v>Refer</x:v>
      </x:c>
      <x:c r="K295" s="13" t="str">
        <x:v>REFER_VAWC_CHILD_PROTECTION</x:v>
      </x:c>
      <x:c r="L295" s="13" t="str">
        <x:v>Not KP; mandatory safety referral screening</x:v>
      </x:c>
      <x:c r="M295" s="13" t="str">
        <x:v>Refer to VAWC desk/CSWDO/PNP/proper authority; do not mediate as ordinary KP case</x:v>
      </x:c>
      <x:c r="N295" s="13" t="str">
        <x:v>Protected-person or child-safety issue requires referral.</x:v>
      </x:c>
      <x:c r="O295" s="13" t="str"/>
      <x:c r="P295" s="13" t="str">
        <x:v>Paghingi ng referral para sa child-protection concern</x:v>
      </x:c>
      <x:c r="Q295" s="13" t="str">
        <x:v>Added to balance 'VAWC/child abuse' to 49 examples using the same Justice KP label schema.</x:v>
      </x:c>
      <x:c r="R295" s="13" t="str">
        <x:v>Synthetic row based on category coverage gap from uploaded PDF</x:v>
      </x:c>
    </x:row>
    <x:row r="296" ht="36" customHeight="1">
      <x:c r="A296" s="13" t="str">
        <x:v>KP-25-010-PSWT</x:v>
      </x:c>
      <x:c r="B296" s="13" t="str">
        <x:v>outside-KP</x:v>
      </x:c>
      <x:c r="C296" s="13" t="str">
        <x:v>Real PDF</x:v>
      </x:c>
      <x:c r="D296" s="13" t="str">
        <x:v>KP-25-010-PSWT</x:v>
      </x:c>
      <x:c r="E296" s="13" t="str">
        <x:v>Criminal</x:v>
      </x:c>
      <x:c r="F296" s="13" t="str">
        <x:v>Aksidente</x:v>
      </x:c>
      <x:c r="G296" s="13" t="str">
        <x:v>January 8, 2025</x:v>
      </x:c>
      <x:c r="H296" s="13" t="str">
        <x:v>-</x:v>
      </x:c>
      <x:c r="I296" s="13" t="str">
        <x:v>Nagkaroon ng paghaharap subalit walang pagkakasundo sa dalawang panig</x:v>
      </x:c>
      <x:c r="J296" s="13" t="str">
        <x:v>Endorsed</x:v>
      </x:c>
      <x:c r="K296" s="13" t="str">
        <x:v>NON_KP_REVIEW</x:v>
      </x:c>
      <x:c r="L296" s="13" t="str">
        <x:v>Needs legal/KP eligibility review</x:v>
      </x:c>
      <x:c r="M296" s="13" t="str">
        <x:v>Flag for secretary/lupon review before action</x:v>
      </x:c>
      <x:c r="N296" s="13" t="str">
        <x:v>Does not match the covered example categories or needs non-KP/legal review before conciliation.</x:v>
      </x:c>
      <x:c r="O296" s="13" t="str"/>
      <x:c r="P296" s="13" t="str">
        <x:v>Aksidente</x:v>
      </x:c>
      <x:c r="Q296" s="13" t="str"/>
      <x:c r="R296" s="13" t="str">
        <x:v>KP CASE PSWT - Sheet1 - KP CASE PSWT - Sheet1.pdf</x:v>
      </x:c>
    </x:row>
    <x:row r="297" ht="36" customHeight="1">
      <x:c r="A297" s="13" t="str">
        <x:v>KP-25-013-PSWT</x:v>
      </x:c>
      <x:c r="B297" s="13" t="str">
        <x:v>outside-KP</x:v>
      </x:c>
      <x:c r="C297" s="13" t="str">
        <x:v>Real PDF</x:v>
      </x:c>
      <x:c r="D297" s="13" t="str">
        <x:v>KP-25-013-PSWT</x:v>
      </x:c>
      <x:c r="E297" s="13" t="str">
        <x:v>Criminal</x:v>
      </x:c>
      <x:c r="F297" s="13" t="str">
        <x:v>Paninirang puri</x:v>
      </x:c>
      <x:c r="G297" s="13" t="str">
        <x:v>January 17, 2025</x:v>
      </x:c>
      <x:c r="H297" s="13" t="str">
        <x:v>-</x:v>
      </x:c>
      <x:c r="I297" s="13" t="str">
        <x:v>Nagkaroon ng paghaharap subalit walang pagkakasundo sa dalawang panig</x:v>
      </x:c>
      <x:c r="J297" s="13" t="str">
        <x:v>Dismiss</x:v>
      </x:c>
      <x:c r="K297" s="13" t="str">
        <x:v>NON_KP_REVIEW</x:v>
      </x:c>
      <x:c r="L297" s="13" t="str">
        <x:v>Needs legal/KP eligibility review</x:v>
      </x:c>
      <x:c r="M297" s="13" t="str">
        <x:v>Flag for secretary/lupon review before action</x:v>
      </x:c>
      <x:c r="N297" s="13" t="str">
        <x:v>Does not match the covered example categories or needs non-KP/legal review before conciliation.</x:v>
      </x:c>
      <x:c r="O297" s="13" t="str"/>
      <x:c r="P297" s="13" t="str">
        <x:v>Paninirang puri</x:v>
      </x:c>
      <x:c r="Q297" s="13" t="str"/>
      <x:c r="R297" s="13" t="str">
        <x:v>KP CASE PSWT - Sheet1 - KP CASE PSWT - Sheet1.pdf</x:v>
      </x:c>
    </x:row>
    <x:row r="298" ht="36" customHeight="1">
      <x:c r="A298" s="13" t="str">
        <x:v>KP-25-027-PSWT</x:v>
      </x:c>
      <x:c r="B298" s="13" t="str">
        <x:v>outside-KP</x:v>
      </x:c>
      <x:c r="C298" s="13" t="str">
        <x:v>Real PDF</x:v>
      </x:c>
      <x:c r="D298" s="13" t="str">
        <x:v>KP-25-027-PSWT</x:v>
      </x:c>
      <x:c r="E298" s="13" t="str">
        <x:v>Criminal</x:v>
      </x:c>
      <x:c r="F298" s="13" t="str">
        <x:v>Pagsasalita ng masama</x:v>
      </x:c>
      <x:c r="G298" s="13" t="str">
        <x:v>March 13, 2025</x:v>
      </x:c>
      <x:c r="H298" s="13" t="str">
        <x:v>May 6, 2025</x:v>
      </x:c>
      <x:c r="I298" s="13" t="str">
        <x:v>Nagkaroon ng pagkakasundo humingi ng pasensya ang ipinagsumbong at nangako na magbibigay ng P500 monthly hanggang matapos ang halagang P5,000.</x:v>
      </x:c>
      <x:c r="J298" s="13" t="str">
        <x:v>Settled</x:v>
      </x:c>
      <x:c r="K298" s="13" t="str">
        <x:v>NON_KP_REVIEW</x:v>
      </x:c>
      <x:c r="L298" s="13" t="str">
        <x:v>Needs legal/KP eligibility review</x:v>
      </x:c>
      <x:c r="M298" s="13" t="str">
        <x:v>Flag for secretary/lupon review before action</x:v>
      </x:c>
      <x:c r="N298" s="13" t="str">
        <x:v>Does not match the covered example categories or needs non-KP/legal review before conciliation.</x:v>
      </x:c>
      <x:c r="O298" s="13" t="str">
        <x:v>P500; P5,000</x:v>
      </x:c>
      <x:c r="P298" s="13" t="str">
        <x:v>Pagsasalita ng masama</x:v>
      </x:c>
      <x:c r="Q298" s="13" t="str"/>
      <x:c r="R298" s="13" t="str">
        <x:v>KP CASE PSWT - Sheet1 - KP CASE PSWT - Sheet1.pdf</x:v>
      </x:c>
    </x:row>
    <x:row r="299" ht="36" customHeight="1">
      <x:c r="A299" s="13" t="str">
        <x:v>KP-25-030-PSWT</x:v>
      </x:c>
      <x:c r="B299" s="13" t="str">
        <x:v>outside-KP</x:v>
      </x:c>
      <x:c r="C299" s="13" t="str">
        <x:v>Real PDF</x:v>
      </x:c>
      <x:c r="D299" s="13" t="str">
        <x:v>KP-25-030-PSWT</x:v>
      </x:c>
      <x:c r="E299" s="13" t="str">
        <x:v>Criminal</x:v>
      </x:c>
      <x:c r="F299" s="13" t="str">
        <x:v>Paninirang puri</x:v>
      </x:c>
      <x:c r="G299" s="13" t="str">
        <x:v>March 24, 2025</x:v>
      </x:c>
      <x:c r="H299" s="13" t="str">
        <x:v>March 25, 2025</x:v>
      </x:c>
      <x:c r="I299" s="13" t="str">
        <x:v>Nagkaroon ng pagkakasundo at nagkalinawan sa mga isyu.</x:v>
      </x:c>
      <x:c r="J299" s="13" t="str">
        <x:v>Settled</x:v>
      </x:c>
      <x:c r="K299" s="13" t="str">
        <x:v>NON_KP_REVIEW</x:v>
      </x:c>
      <x:c r="L299" s="13" t="str">
        <x:v>Needs legal/KP eligibility review</x:v>
      </x:c>
      <x:c r="M299" s="13" t="str">
        <x:v>Flag for secretary/lupon review before action</x:v>
      </x:c>
      <x:c r="N299" s="13" t="str">
        <x:v>Does not match the covered example categories or needs non-KP/legal review before conciliation.</x:v>
      </x:c>
      <x:c r="O299" s="13" t="str"/>
      <x:c r="P299" s="13" t="str">
        <x:v>Paninirang puri</x:v>
      </x:c>
      <x:c r="Q299" s="13" t="str"/>
      <x:c r="R299" s="13" t="str">
        <x:v>KP CASE PSWT - Sheet1 - KP CASE PSWT - Sheet1.pdf</x:v>
      </x:c>
    </x:row>
    <x:row r="300" ht="36" customHeight="1">
      <x:c r="A300" s="13" t="str">
        <x:v>KP-25-051-PSWT</x:v>
      </x:c>
      <x:c r="B300" s="13" t="str">
        <x:v>outside-KP</x:v>
      </x:c>
      <x:c r="C300" s="13" t="str">
        <x:v>Real PDF</x:v>
      </x:c>
      <x:c r="D300" s="13" t="str">
        <x:v>KP-25-051-PSWT</x:v>
      </x:c>
      <x:c r="E300" s="13" t="str">
        <x:v>Criminal</x:v>
      </x:c>
      <x:c r="F300" s="13" t="str">
        <x:v>Paninirang puri</x:v>
      </x:c>
      <x:c r="G300" s="13" t="str">
        <x:v>June 12, 2025</x:v>
      </x:c>
      <x:c r="H300" s="13" t="str">
        <x:v>-</x:v>
      </x:c>
      <x:c r="I300" s="13" t="str">
        <x:v>Walang pagkakasundo sa dalawang panig.</x:v>
      </x:c>
      <x:c r="J300" s="13" t="str">
        <x:v>Endorsed</x:v>
      </x:c>
      <x:c r="K300" s="13" t="str">
        <x:v>NON_KP_REVIEW</x:v>
      </x:c>
      <x:c r="L300" s="13" t="str">
        <x:v>Needs legal/KP eligibility review</x:v>
      </x:c>
      <x:c r="M300" s="13" t="str">
        <x:v>Flag for secretary/lupon review before action</x:v>
      </x:c>
      <x:c r="N300" s="13" t="str">
        <x:v>Does not match the covered example categories or needs non-KP/legal review before conciliation.</x:v>
      </x:c>
      <x:c r="O300" s="13" t="str"/>
      <x:c r="P300" s="13" t="str">
        <x:v>Paninirang puri</x:v>
      </x:c>
      <x:c r="Q300" s="13" t="str"/>
      <x:c r="R300" s="13" t="str">
        <x:v>KP CASE PSWT - Sheet1 - KP CASE PSWT - Sheet1.pdf</x:v>
      </x:c>
    </x:row>
    <x:row r="301" ht="36" customHeight="1">
      <x:c r="A301" s="13" t="str">
        <x:v>KP-25-063-PSWT</x:v>
      </x:c>
      <x:c r="B301" s="13" t="str">
        <x:v>outside-KP</x:v>
      </x:c>
      <x:c r="C301" s="13" t="str">
        <x:v>Real PDF</x:v>
      </x:c>
      <x:c r="D301" s="13" t="str">
        <x:v>KP-25-063-PSWT</x:v>
      </x:c>
      <x:c r="E301" s="13" t="str">
        <x:v>Criminal</x:v>
      </x:c>
      <x:c r="F301" s="13" t="str">
        <x:v>Pagbibintang na nagnakaw</x:v>
      </x:c>
      <x:c r="G301" s="13" t="str">
        <x:v>July 30, 2025</x:v>
      </x:c>
      <x:c r="H301" s="13" t="str">
        <x:v>August 1, 2025</x:v>
      </x:c>
      <x:c r="I301" s="13" t="str">
        <x:v>Nalinawan ang bawat isa na ang puno't dulo ng lahat ay ipinagsumbong at ginamit lang sila. Ang usapin ay tinatapos na.</x:v>
      </x:c>
      <x:c r="J301" s="13" t="str">
        <x:v>Settled</x:v>
      </x:c>
      <x:c r="K301" s="13" t="str">
        <x:v>NON_KP_REVIEW</x:v>
      </x:c>
      <x:c r="L301" s="13" t="str">
        <x:v>Needs legal/KP eligibility review</x:v>
      </x:c>
      <x:c r="M301" s="13" t="str">
        <x:v>Flag for secretary/lupon review before action</x:v>
      </x:c>
      <x:c r="N301" s="13" t="str">
        <x:v>Does not match the covered example categories or needs non-KP/legal review before conciliation.</x:v>
      </x:c>
      <x:c r="O301" s="13" t="str"/>
      <x:c r="P301" s="13" t="str">
        <x:v>Pagbibintang na nagnakaw</x:v>
      </x:c>
      <x:c r="Q301" s="13" t="str"/>
      <x:c r="R301" s="13" t="str">
        <x:v>KP CASE PSWT - Sheet1 - KP CASE PSWT - Sheet1.pdf</x:v>
      </x:c>
    </x:row>
    <x:row r="302" ht="36" customHeight="1">
      <x:c r="A302" s="13" t="str">
        <x:v>KP-25-074-PSWT</x:v>
      </x:c>
      <x:c r="B302" s="13" t="str">
        <x:v>outside-KP</x:v>
      </x:c>
      <x:c r="C302" s="13" t="str">
        <x:v>Real PDF</x:v>
      </x:c>
      <x:c r="D302" s="13" t="str">
        <x:v>KP-25-074-PSWT</x:v>
      </x:c>
      <x:c r="E302" s="13" t="str">
        <x:v>Criminal</x:v>
      </x:c>
      <x:c r="F302" s="13" t="str">
        <x:v>Pagbibintang</x:v>
      </x:c>
      <x:c r="G302" s="13" t="str">
        <x:v>August 18, 2025</x:v>
      </x:c>
      <x:c r="H302" s="13" t="str">
        <x:v>-</x:v>
      </x:c>
      <x:c r="I302" s="13" t="str">
        <x:v>Walang pagkakasundo sa dalawang panig kaya't ang maysumbong ay may karapatan ng maghain ng kaukulang reklamo sa kinauukulang tanggapan.</x:v>
      </x:c>
      <x:c r="J302" s="13" t="str">
        <x:v>Endorsed</x:v>
      </x:c>
      <x:c r="K302" s="13" t="str">
        <x:v>NON_KP_REVIEW</x:v>
      </x:c>
      <x:c r="L302" s="13" t="str">
        <x:v>Needs legal/KP eligibility review</x:v>
      </x:c>
      <x:c r="M302" s="13" t="str">
        <x:v>Flag for secretary/lupon review before action</x:v>
      </x:c>
      <x:c r="N302" s="13" t="str">
        <x:v>Does not match the covered example categories or needs non-KP/legal review before conciliation.</x:v>
      </x:c>
      <x:c r="O302" s="13" t="str"/>
      <x:c r="P302" s="13" t="str">
        <x:v>Pagbibintang</x:v>
      </x:c>
      <x:c r="Q302" s="13" t="str"/>
      <x:c r="R302" s="13" t="str">
        <x:v>KP CASE PSWT - Sheet1 - KP CASE PSWT - Sheet1.pdf</x:v>
      </x:c>
    </x:row>
    <x:row r="303" ht="36" customHeight="1">
      <x:c r="A303" s="13" t="str">
        <x:v>KP-25-078-PSWT</x:v>
      </x:c>
      <x:c r="B303" s="13" t="str">
        <x:v>outside-KP</x:v>
      </x:c>
      <x:c r="C303" s="13" t="str">
        <x:v>Real PDF</x:v>
      </x:c>
      <x:c r="D303" s="13" t="str">
        <x:v>KP-25-078-PSWT</x:v>
      </x:c>
      <x:c r="E303" s="13" t="str">
        <x:v>Criminal</x:v>
      </x:c>
      <x:c r="F303" s="13" t="str">
        <x:v>Paninirang puri sa social media</x:v>
      </x:c>
      <x:c r="G303" s="13" t="str">
        <x:v>August 25, 2025</x:v>
      </x:c>
      <x:c r="H303" s="13" t="str">
        <x:v>September 3, 2025</x:v>
      </x:c>
      <x:c r="I303" s="13" t="str">
        <x:v>Nagkaroon ng pagkakasundo at pakiusap ng maysumbong na magpublic apology ang maysumbong. Pakiusap ng ipinagsumbong na magpost din ang maysumbong na magthank you.</x:v>
      </x:c>
      <x:c r="J303" s="13" t="str">
        <x:v>Settled</x:v>
      </x:c>
      <x:c r="K303" s="13" t="str">
        <x:v>NON_KP_REVIEW</x:v>
      </x:c>
      <x:c r="L303" s="13" t="str">
        <x:v>Needs legal/KP eligibility review</x:v>
      </x:c>
      <x:c r="M303" s="13" t="str">
        <x:v>Flag for secretary/lupon review before action</x:v>
      </x:c>
      <x:c r="N303" s="13" t="str">
        <x:v>Does not match the covered example categories or needs non-KP/legal review before conciliation.</x:v>
      </x:c>
      <x:c r="O303" s="13" t="str"/>
      <x:c r="P303" s="13" t="str">
        <x:v>Paninirang puri sa social media</x:v>
      </x:c>
      <x:c r="Q303" s="13" t="str"/>
      <x:c r="R303" s="13" t="str">
        <x:v>KP CASE PSWT - Sheet1 - KP CASE PSWT - Sheet1.pdf</x:v>
      </x:c>
    </x:row>
    <x:row r="304" ht="36" customHeight="1">
      <x:c r="A304" s="13" t="str">
        <x:v>KP-25-085-PSWT</x:v>
      </x:c>
      <x:c r="B304" s="13" t="str">
        <x:v>outside-KP</x:v>
      </x:c>
      <x:c r="C304" s="13" t="str">
        <x:v>Real PDF</x:v>
      </x:c>
      <x:c r="D304" s="13" t="str">
        <x:v>KP-25-085-PSWT</x:v>
      </x:c>
      <x:c r="E304" s="13" t="str">
        <x:v>Criminal</x:v>
      </x:c>
      <x:c r="F304" s="13" t="str">
        <x:v>Paglilinaw sa pmbabato sa bubungan</x:v>
      </x:c>
      <x:c r="G304" s="13" t="str">
        <x:v>October 4, 2025</x:v>
      </x:c>
      <x:c r="H304" s="13" t="str">
        <x:v>October 7, 2025</x:v>
      </x:c>
      <x:c r="I304" s="13" t="str">
        <x:v>Tinatapos na ang usapin.</x:v>
      </x:c>
      <x:c r="J304" s="13" t="str">
        <x:v>Settled</x:v>
      </x:c>
      <x:c r="K304" s="13" t="str">
        <x:v>NON_KP_REVIEW</x:v>
      </x:c>
      <x:c r="L304" s="13" t="str">
        <x:v>Needs legal/KP eligibility review</x:v>
      </x:c>
      <x:c r="M304" s="13" t="str">
        <x:v>Flag for secretary/lupon review before action</x:v>
      </x:c>
      <x:c r="N304" s="13" t="str">
        <x:v>Does not match the covered example categories or needs non-KP/legal review before conciliation.</x:v>
      </x:c>
      <x:c r="O304" s="13" t="str"/>
      <x:c r="P304" s="13" t="str">
        <x:v>Paglilinaw sa pmbabato sa bubungan</x:v>
      </x:c>
      <x:c r="Q304" s="13" t="str"/>
      <x:c r="R304" s="13" t="str">
        <x:v>KP CASE PSWT - Sheet1 - KP CASE PSWT - Sheet1.pdf</x:v>
      </x:c>
    </x:row>
    <x:row r="305" ht="36" customHeight="1">
      <x:c r="A305" s="13" t="str">
        <x:v>KP-25-091-PSWT</x:v>
      </x:c>
      <x:c r="B305" s="13" t="str">
        <x:v>outside-KP</x:v>
      </x:c>
      <x:c r="C305" s="13" t="str">
        <x:v>Real PDF</x:v>
      </x:c>
      <x:c r="D305" s="13" t="str">
        <x:v>KP-25-091-PSWT</x:v>
      </x:c>
      <x:c r="E305" s="13" t="str">
        <x:v>Criminal</x:v>
      </x:c>
      <x:c r="F305" s="13" t="str">
        <x:v>Paninira sa online</x:v>
      </x:c>
      <x:c r="G305" s="13" t="str">
        <x:v>October 13, 2025</x:v>
      </x:c>
      <x:c r="H305" s="13" t="str">
        <x:v>-</x:v>
      </x:c>
      <x:c r="I305" s="13" t="str">
        <x:v>Nagkaroon ng unang patawag subalit ang ipinagsumbong ay hindi nakadating. At sa dahilang ang maysumbong ay nanganak kaya't ang usapin ay nakapending.</x:v>
      </x:c>
      <x:c r="J305" s="13" t="str">
        <x:v>Pending</x:v>
      </x:c>
      <x:c r="K305" s="13" t="str">
        <x:v>NON_KP_REVIEW</x:v>
      </x:c>
      <x:c r="L305" s="13" t="str">
        <x:v>Needs legal/KP eligibility review</x:v>
      </x:c>
      <x:c r="M305" s="13" t="str">
        <x:v>Flag for secretary/lupon review before action</x:v>
      </x:c>
      <x:c r="N305" s="13" t="str">
        <x:v>Does not match the covered example categories or needs non-KP/legal review before conciliation.</x:v>
      </x:c>
      <x:c r="O305" s="13" t="str"/>
      <x:c r="P305" s="13" t="str">
        <x:v>Paninira sa online</x:v>
      </x:c>
      <x:c r="Q305" s="13" t="str"/>
      <x:c r="R305" s="13" t="str">
        <x:v>KP CASE PSWT - Sheet1 - KP CASE PSWT - Sheet1.pdf</x:v>
      </x:c>
    </x:row>
    <x:row r="306" ht="36" customHeight="1">
      <x:c r="A306" s="13" t="str">
        <x:v>KP-25-095-PSWT</x:v>
      </x:c>
      <x:c r="B306" s="13" t="str">
        <x:v>outside-KP</x:v>
      </x:c>
      <x:c r="C306" s="13" t="str">
        <x:v>Real PDF</x:v>
      </x:c>
      <x:c r="D306" s="13" t="str">
        <x:v>KP-25-095-PSWT</x:v>
      </x:c>
      <x:c r="E306" s="13" t="str">
        <x:v>Criminal</x:v>
      </x:c>
      <x:c r="F306" s="13" t="str">
        <x:v>Pagkakalat ng chismis</x:v>
      </x:c>
      <x:c r="G306" s="13" t="str">
        <x:v>October 27, 2025</x:v>
      </x:c>
      <x:c r="H306" s="13" t="str">
        <x:v>November 12, 2025</x:v>
      </x:c>
      <x:c r="I306" s="13" t="str">
        <x:v>Nagkaunawaan ang dalawang panig. Pakiusap ng maysumbong na huwag magchismis at huwag pakialaman ang buhay ng iba. Humingi ng pasensya ang ipinagsumbong sa maysumbong.</x:v>
      </x:c>
      <x:c r="J306" s="13" t="str">
        <x:v>Settled</x:v>
      </x:c>
      <x:c r="K306" s="13" t="str">
        <x:v>NON_KP_REVIEW</x:v>
      </x:c>
      <x:c r="L306" s="13" t="str">
        <x:v>Needs legal/KP eligibility review</x:v>
      </x:c>
      <x:c r="M306" s="13" t="str">
        <x:v>Flag for secretary/lupon review before action</x:v>
      </x:c>
      <x:c r="N306" s="13" t="str">
        <x:v>Does not match the covered example categories or needs non-KP/legal review before conciliation.</x:v>
      </x:c>
      <x:c r="O306" s="13" t="str"/>
      <x:c r="P306" s="13" t="str">
        <x:v>Pagkakalat ng chismis</x:v>
      </x:c>
      <x:c r="Q306" s="13" t="str"/>
      <x:c r="R306" s="13" t="str">
        <x:v>KP CASE PSWT - Sheet1 - KP CASE PSWT - Sheet1.pdf</x:v>
      </x:c>
    </x:row>
    <x:row r="307" ht="36" customHeight="1">
      <x:c r="A307" s="13" t="str">
        <x:v>KP-25-096-PSWT</x:v>
      </x:c>
      <x:c r="B307" s="13" t="str">
        <x:v>outside-KP</x:v>
      </x:c>
      <x:c r="C307" s="13" t="str">
        <x:v>Real PDF</x:v>
      </x:c>
      <x:c r="D307" s="13" t="str">
        <x:v>KP-25-096-PSWT</x:v>
      </x:c>
      <x:c r="E307" s="13" t="str">
        <x:v>Criminal</x:v>
      </x:c>
      <x:c r="F307" s="13" t="str">
        <x:v>PAninirang puri</x:v>
      </x:c>
      <x:c r="G307" s="13" t="str">
        <x:v>October 28, 2025</x:v>
      </x:c>
      <x:c r="H307" s="13" t="str">
        <x:v>-</x:v>
      </x:c>
      <x:c r="I307" s="13" t="str">
        <x:v>Nagkaroon ng patawag subalit ang ipinagsumbong ay hindi nadating sa hearing kaya't ang maysumbong ay may karapatan ng maghain ng kaukulang reklamo sa kinauukulang tanggapan.</x:v>
      </x:c>
      <x:c r="J307" s="13" t="str">
        <x:v>Endorsed</x:v>
      </x:c>
      <x:c r="K307" s="13" t="str">
        <x:v>NON_KP_REVIEW</x:v>
      </x:c>
      <x:c r="L307" s="13" t="str">
        <x:v>Needs legal/KP eligibility review</x:v>
      </x:c>
      <x:c r="M307" s="13" t="str">
        <x:v>Flag for secretary/lupon review before action</x:v>
      </x:c>
      <x:c r="N307" s="13" t="str">
        <x:v>Does not match the covered example categories or needs non-KP/legal review before conciliation.</x:v>
      </x:c>
      <x:c r="O307" s="13" t="str"/>
      <x:c r="P307" s="13" t="str">
        <x:v>PAninirang puri</x:v>
      </x:c>
      <x:c r="Q307" s="13" t="str"/>
      <x:c r="R307" s="13" t="str">
        <x:v>KP CASE PSWT - Sheet1 - KP CASE PSWT - Sheet1.pdf</x:v>
      </x:c>
    </x:row>
    <x:row r="308" ht="36" customHeight="1">
      <x:c r="A308" s="13" t="str">
        <x:v>KP-25-106-PSWT</x:v>
      </x:c>
      <x:c r="B308" s="13" t="str">
        <x:v>outside-KP</x:v>
      </x:c>
      <x:c r="C308" s="13" t="str">
        <x:v>Real PDF</x:v>
      </x:c>
      <x:c r="D308" s="13" t="str">
        <x:v>KP-25-106-PSWT</x:v>
      </x:c>
      <x:c r="E308" s="13" t="str">
        <x:v>Criminal</x:v>
      </x:c>
      <x:c r="F308" s="13" t="str">
        <x:v>Paninirang puri</x:v>
      </x:c>
      <x:c r="G308" s="13" t="str">
        <x:v>November 20, 2025</x:v>
      </x:c>
      <x:c r="H308" s="13" t="str">
        <x:v>-</x:v>
      </x:c>
      <x:c r="I308" s="13" t="str">
        <x:v>Walang pagkakasundo sa dalawang panig kaya't ang maysumbong ay may karapatan ng maghain ng kaukulang reklamo sa kinauukulang tanggapan.</x:v>
      </x:c>
      <x:c r="J308" s="13" t="str">
        <x:v>Endorsed</x:v>
      </x:c>
      <x:c r="K308" s="13" t="str">
        <x:v>NON_KP_REVIEW</x:v>
      </x:c>
      <x:c r="L308" s="13" t="str">
        <x:v>Needs legal/KP eligibility review</x:v>
      </x:c>
      <x:c r="M308" s="13" t="str">
        <x:v>Flag for secretary/lupon review before action</x:v>
      </x:c>
      <x:c r="N308" s="13" t="str">
        <x:v>Does not match the covered example categories or needs non-KP/legal review before conciliation.</x:v>
      </x:c>
      <x:c r="O308" s="13" t="str"/>
      <x:c r="P308" s="13" t="str">
        <x:v>Paninirang puri</x:v>
      </x:c>
      <x:c r="Q308" s="13" t="str"/>
      <x:c r="R308" s="13" t="str">
        <x:v>KP CASE PSWT - Sheet1 - KP CASE PSWT - Sheet1.pdf</x:v>
      </x:c>
    </x:row>
    <x:row r="309" ht="36" customHeight="1">
      <x:c r="A309" s="13" t="str">
        <x:v>SYN-OUT-001</x:v>
      </x:c>
      <x:c r="B309" s="13" t="str">
        <x:v>outside-KP</x:v>
      </x:c>
      <x:c r="C309" s="13" t="str">
        <x:v>Synthetic</x:v>
      </x:c>
      <x:c r="D309" s="13" t="str"/>
      <x:c r="E309" s="13" t="str">
        <x:v>Review</x:v>
      </x:c>
      <x:c r="F309" s="13" t="str">
        <x:v>Aksidenteng kinasasangkutan ng sasakyan na kailangan ng police report</x:v>
      </x:c>
      <x:c r="G309" s="13" t="str">
        <x:v>January 9, 2026</x:v>
      </x:c>
      <x:c r="H309" s="13" t="str">
        <x:v>-</x:v>
      </x:c>
      <x:c r="I309" s="13" t="str">
        <x:v>Synthetic example: facts indicate matter is outside ordinary barangay conciliation or needs another forum.</x:v>
      </x:c>
      <x:c r="J309" s="13" t="str">
        <x:v>Review</x:v>
      </x:c>
      <x:c r="K309" s="13" t="str">
        <x:v>NON_KP_REVIEW</x:v>
      </x:c>
      <x:c r="L309" s="13" t="str">
        <x:v>Needs legal/KP eligibility review</x:v>
      </x:c>
      <x:c r="M309" s="13" t="str">
        <x:v>Flag as outside ordinary KP and route to proper agency or legal review</x:v>
      </x:c>
      <x:c r="N309" s="13" t="str">
        <x:v>Outside ordinary KP coverage or lacks required barangay jurisdiction facts.</x:v>
      </x:c>
      <x:c r="O309" s="13" t="str"/>
      <x:c r="P309" s="13" t="str">
        <x:v>Aksidenteng kinasasangkutan ng sasakyan na kailangan ng police report</x:v>
      </x:c>
      <x:c r="Q309" s="13" t="str">
        <x:v>Added to balance 'outside-KP' to 49 examples using the same Justice KP label schema.</x:v>
      </x:c>
      <x:c r="R309" s="13" t="str">
        <x:v>Synthetic row based on category coverage gap from uploaded PDF</x:v>
      </x:c>
    </x:row>
    <x:row r="310" ht="36" customHeight="1">
      <x:c r="A310" s="13" t="str">
        <x:v>SYN-OUT-002</x:v>
      </x:c>
      <x:c r="B310" s="13" t="str">
        <x:v>outside-KP</x:v>
      </x:c>
      <x:c r="C310" s="13" t="str">
        <x:v>Synthetic</x:v>
      </x:c>
      <x:c r="D310" s="13" t="str"/>
      <x:c r="E310" s="13" t="str">
        <x:v>Review</x:v>
      </x:c>
      <x:c r="F310" s="13" t="str">
        <x:v>Usaping corporate contract na hindi personal na barangay dispute</x:v>
      </x:c>
      <x:c r="G310" s="13" t="str">
        <x:v>January 12, 2026</x:v>
      </x:c>
      <x:c r="H310" s="13" t="str">
        <x:v>-</x:v>
      </x:c>
      <x:c r="I310" s="13" t="str">
        <x:v>Synthetic example: facts indicate matter is outside ordinary barangay conciliation or needs another forum.</x:v>
      </x:c>
      <x:c r="J310" s="13" t="str">
        <x:v>Review</x:v>
      </x:c>
      <x:c r="K310" s="13" t="str">
        <x:v>NON_KP_REVIEW</x:v>
      </x:c>
      <x:c r="L310" s="13" t="str">
        <x:v>Needs legal/KP eligibility review</x:v>
      </x:c>
      <x:c r="M310" s="13" t="str">
        <x:v>Flag as outside ordinary KP and route to proper agency or legal review</x:v>
      </x:c>
      <x:c r="N310" s="13" t="str">
        <x:v>Outside ordinary KP coverage or lacks required barangay jurisdiction facts.</x:v>
      </x:c>
      <x:c r="O310" s="13" t="str"/>
      <x:c r="P310" s="13" t="str">
        <x:v>Usaping corporate contract na hindi personal na barangay dispute</x:v>
      </x:c>
      <x:c r="Q310" s="13" t="str">
        <x:v>Added to balance 'outside-KP' to 49 examples using the same Justice KP label schema.</x:v>
      </x:c>
      <x:c r="R310" s="13" t="str">
        <x:v>Synthetic row based on category coverage gap from uploaded PDF</x:v>
      </x:c>
    </x:row>
    <x:row r="311" ht="36" customHeight="1">
      <x:c r="A311" s="13" t="str">
        <x:v>SYN-OUT-003</x:v>
      </x:c>
      <x:c r="B311" s="13" t="str">
        <x:v>outside-KP</x:v>
      </x:c>
      <x:c r="C311" s="13" t="str">
        <x:v>Synthetic</x:v>
      </x:c>
      <x:c r="D311" s="13" t="str"/>
      <x:c r="E311" s="13" t="str">
        <x:v>Review</x:v>
      </x:c>
      <x:c r="F311" s="13" t="str">
        <x:v>Reklamo sa online scam na hindi kilala ang respondent</x:v>
      </x:c>
      <x:c r="G311" s="13" t="str">
        <x:v>January 15, 2026</x:v>
      </x:c>
      <x:c r="H311" s="13" t="str">
        <x:v>-</x:v>
      </x:c>
      <x:c r="I311" s="13" t="str">
        <x:v>Synthetic example: facts indicate matter is outside ordinary barangay conciliation or needs another forum.</x:v>
      </x:c>
      <x:c r="J311" s="13" t="str">
        <x:v>Review</x:v>
      </x:c>
      <x:c r="K311" s="13" t="str">
        <x:v>NON_KP_REVIEW</x:v>
      </x:c>
      <x:c r="L311" s="13" t="str">
        <x:v>Needs legal/KP eligibility review</x:v>
      </x:c>
      <x:c r="M311" s="13" t="str">
        <x:v>Flag as outside ordinary KP and route to proper agency or legal review</x:v>
      </x:c>
      <x:c r="N311" s="13" t="str">
        <x:v>Outside ordinary KP coverage or lacks required barangay jurisdiction facts.</x:v>
      </x:c>
      <x:c r="O311" s="13" t="str"/>
      <x:c r="P311" s="13" t="str">
        <x:v>Reklamo sa online scam na hindi kilala ang respondent</x:v>
      </x:c>
      <x:c r="Q311" s="13" t="str">
        <x:v>Added to balance 'outside-KP' to 49 examples using the same Justice KP label schema.</x:v>
      </x:c>
      <x:c r="R311" s="13" t="str">
        <x:v>Synthetic row based on category coverage gap from uploaded PDF</x:v>
      </x:c>
    </x:row>
    <x:row r="312" ht="36" customHeight="1">
      <x:c r="A312" s="13" t="str">
        <x:v>SYN-OUT-004</x:v>
      </x:c>
      <x:c r="B312" s="13" t="str">
        <x:v>outside-KP</x:v>
      </x:c>
      <x:c r="C312" s="13" t="str">
        <x:v>Synthetic</x:v>
      </x:c>
      <x:c r="D312" s="13" t="str"/>
      <x:c r="E312" s="13" t="str">
        <x:v>Review</x:v>
      </x:c>
      <x:c r="F312" s="13" t="str">
        <x:v>Away na ang respondent ay residente ng ibang lungsod at hindi sakop</x:v>
      </x:c>
      <x:c r="G312" s="13" t="str">
        <x:v>January 18, 2026</x:v>
      </x:c>
      <x:c r="H312" s="13" t="str">
        <x:v>-</x:v>
      </x:c>
      <x:c r="I312" s="13" t="str">
        <x:v>Synthetic example: facts indicate matter is outside ordinary barangay conciliation or needs another forum.</x:v>
      </x:c>
      <x:c r="J312" s="13" t="str">
        <x:v>Review</x:v>
      </x:c>
      <x:c r="K312" s="13" t="str">
        <x:v>NON_KP_REVIEW</x:v>
      </x:c>
      <x:c r="L312" s="13" t="str">
        <x:v>Needs legal/KP eligibility review</x:v>
      </x:c>
      <x:c r="M312" s="13" t="str">
        <x:v>Flag as outside ordinary KP and route to proper agency or legal review</x:v>
      </x:c>
      <x:c r="N312" s="13" t="str">
        <x:v>Outside ordinary KP coverage or lacks required barangay jurisdiction facts.</x:v>
      </x:c>
      <x:c r="O312" s="13" t="str"/>
      <x:c r="P312" s="13" t="str">
        <x:v>Away na ang respondent ay residente ng ibang lungsod at hindi sakop</x:v>
      </x:c>
      <x:c r="Q312" s="13" t="str">
        <x:v>Added to balance 'outside-KP' to 49 examples using the same Justice KP label schema.</x:v>
      </x:c>
      <x:c r="R312" s="13" t="str">
        <x:v>Synthetic row based on category coverage gap from uploaded PDF</x:v>
      </x:c>
    </x:row>
    <x:row r="313" ht="36" customHeight="1">
      <x:c r="A313" s="13" t="str">
        <x:v>SYN-OUT-005</x:v>
      </x:c>
      <x:c r="B313" s="13" t="str">
        <x:v>outside-KP</x:v>
      </x:c>
      <x:c r="C313" s="13" t="str">
        <x:v>Synthetic</x:v>
      </x:c>
      <x:c r="D313" s="13" t="str"/>
      <x:c r="E313" s="13" t="str">
        <x:v>Review</x:v>
      </x:c>
      <x:c r="F313" s="13" t="str">
        <x:v>Cyber-related complaint na nangangailangan ng specialized investigation</x:v>
      </x:c>
      <x:c r="G313" s="13" t="str">
        <x:v>January 21, 2026</x:v>
      </x:c>
      <x:c r="H313" s="13" t="str">
        <x:v>-</x:v>
      </x:c>
      <x:c r="I313" s="13" t="str">
        <x:v>Synthetic example: facts indicate matter is outside ordinary barangay conciliation or needs another forum.</x:v>
      </x:c>
      <x:c r="J313" s="13" t="str">
        <x:v>Review</x:v>
      </x:c>
      <x:c r="K313" s="13" t="str">
        <x:v>NON_KP_REVIEW</x:v>
      </x:c>
      <x:c r="L313" s="13" t="str">
        <x:v>Needs legal/KP eligibility review</x:v>
      </x:c>
      <x:c r="M313" s="13" t="str">
        <x:v>Flag as outside ordinary KP and route to proper agency or legal review</x:v>
      </x:c>
      <x:c r="N313" s="13" t="str">
        <x:v>Outside ordinary KP coverage or lacks required barangay jurisdiction facts.</x:v>
      </x:c>
      <x:c r="O313" s="13" t="str"/>
      <x:c r="P313" s="13" t="str">
        <x:v>Cyber-related complaint na nangangailangan ng specialized investigation</x:v>
      </x:c>
      <x:c r="Q313" s="13" t="str">
        <x:v>Added to balance 'outside-KP' to 49 examples using the same Justice KP label schema.</x:v>
      </x:c>
      <x:c r="R313" s="13" t="str">
        <x:v>Synthetic row based on category coverage gap from uploaded PDF</x:v>
      </x:c>
    </x:row>
    <x:row r="314" ht="36" customHeight="1">
      <x:c r="A314" s="13" t="str">
        <x:v>SYN-OUT-006</x:v>
      </x:c>
      <x:c r="B314" s="13" t="str">
        <x:v>outside-KP</x:v>
      </x:c>
      <x:c r="C314" s="13" t="str">
        <x:v>Synthetic</x:v>
      </x:c>
      <x:c r="D314" s="13" t="str"/>
      <x:c r="E314" s="13" t="str">
        <x:v>Review</x:v>
      </x:c>
      <x:c r="F314" s="13" t="str">
        <x:v>Dispute sa lupa na may titulo at kailangan ng korte/registrar</x:v>
      </x:c>
      <x:c r="G314" s="13" t="str">
        <x:v>January 24, 2026</x:v>
      </x:c>
      <x:c r="H314" s="13" t="str">
        <x:v>-</x:v>
      </x:c>
      <x:c r="I314" s="13" t="str">
        <x:v>Synthetic example: facts indicate matter is outside ordinary barangay conciliation or needs another forum.</x:v>
      </x:c>
      <x:c r="J314" s="13" t="str">
        <x:v>Review</x:v>
      </x:c>
      <x:c r="K314" s="13" t="str">
        <x:v>NON_KP_REVIEW</x:v>
      </x:c>
      <x:c r="L314" s="13" t="str">
        <x:v>Needs legal/KP eligibility review</x:v>
      </x:c>
      <x:c r="M314" s="13" t="str">
        <x:v>Flag as outside ordinary KP and route to proper agency or legal review</x:v>
      </x:c>
      <x:c r="N314" s="13" t="str">
        <x:v>Outside ordinary KP coverage or lacks required barangay jurisdiction facts.</x:v>
      </x:c>
      <x:c r="O314" s="13" t="str"/>
      <x:c r="P314" s="13" t="str">
        <x:v>Dispute sa lupa na may titulo at kailangan ng korte/registrar</x:v>
      </x:c>
      <x:c r="Q314" s="13" t="str">
        <x:v>Added to balance 'outside-KP' to 49 examples using the same Justice KP label schema.</x:v>
      </x:c>
      <x:c r="R314" s="13" t="str">
        <x:v>Synthetic row based on category coverage gap from uploaded PDF</x:v>
      </x:c>
    </x:row>
    <x:row r="315" ht="36" customHeight="1">
      <x:c r="A315" s="13" t="str">
        <x:v>SYN-OUT-007</x:v>
      </x:c>
      <x:c r="B315" s="13" t="str">
        <x:v>outside-KP</x:v>
      </x:c>
      <x:c r="C315" s="13" t="str">
        <x:v>Synthetic</x:v>
      </x:c>
      <x:c r="D315" s="13" t="str"/>
      <x:c r="E315" s="13" t="str">
        <x:v>Review</x:v>
      </x:c>
      <x:c r="F315" s="13" t="str">
        <x:v>Reklamo tungkol sa employment dismissal sa pribadong kumpanya</x:v>
      </x:c>
      <x:c r="G315" s="13" t="str">
        <x:v>January 27, 2026</x:v>
      </x:c>
      <x:c r="H315" s="13" t="str">
        <x:v>-</x:v>
      </x:c>
      <x:c r="I315" s="13" t="str">
        <x:v>Synthetic example: facts indicate matter is outside ordinary barangay conciliation or needs another forum.</x:v>
      </x:c>
      <x:c r="J315" s="13" t="str">
        <x:v>Review</x:v>
      </x:c>
      <x:c r="K315" s="13" t="str">
        <x:v>NON_KP_REVIEW</x:v>
      </x:c>
      <x:c r="L315" s="13" t="str">
        <x:v>Needs legal/KP eligibility review</x:v>
      </x:c>
      <x:c r="M315" s="13" t="str">
        <x:v>Flag as outside ordinary KP and route to proper agency or legal review</x:v>
      </x:c>
      <x:c r="N315" s="13" t="str">
        <x:v>Outside ordinary KP coverage or lacks required barangay jurisdiction facts.</x:v>
      </x:c>
      <x:c r="O315" s="13" t="str"/>
      <x:c r="P315" s="13" t="str">
        <x:v>Reklamo tungkol sa employment dismissal sa pribadong kumpanya</x:v>
      </x:c>
      <x:c r="Q315" s="13" t="str">
        <x:v>Added to balance 'outside-KP' to 49 examples using the same Justice KP label schema.</x:v>
      </x:c>
      <x:c r="R315" s="13" t="str">
        <x:v>Synthetic row based on category coverage gap from uploaded PDF</x:v>
      </x:c>
    </x:row>
    <x:row r="316" ht="36" customHeight="1">
      <x:c r="A316" s="13" t="str">
        <x:v>SYN-OUT-008</x:v>
      </x:c>
      <x:c r="B316" s="13" t="str">
        <x:v>outside-KP</x:v>
      </x:c>
      <x:c r="C316" s="13" t="str">
        <x:v>Synthetic</x:v>
      </x:c>
      <x:c r="D316" s="13" t="str"/>
      <x:c r="E316" s="13" t="str">
        <x:v>Review</x:v>
      </x:c>
      <x:c r="F316" s="13" t="str">
        <x:v>Alitan sa negosyo na may written arbitration clause</x:v>
      </x:c>
      <x:c r="G316" s="13" t="str">
        <x:v>January 30, 2026</x:v>
      </x:c>
      <x:c r="H316" s="13" t="str">
        <x:v>-</x:v>
      </x:c>
      <x:c r="I316" s="13" t="str">
        <x:v>Synthetic example: facts indicate matter is outside ordinary barangay conciliation or needs another forum.</x:v>
      </x:c>
      <x:c r="J316" s="13" t="str">
        <x:v>Review</x:v>
      </x:c>
      <x:c r="K316" s="13" t="str">
        <x:v>NON_KP_REVIEW</x:v>
      </x:c>
      <x:c r="L316" s="13" t="str">
        <x:v>Needs legal/KP eligibility review</x:v>
      </x:c>
      <x:c r="M316" s="13" t="str">
        <x:v>Flag as outside ordinary KP and route to proper agency or legal review</x:v>
      </x:c>
      <x:c r="N316" s="13" t="str">
        <x:v>Outside ordinary KP coverage or lacks required barangay jurisdiction facts.</x:v>
      </x:c>
      <x:c r="O316" s="13" t="str"/>
      <x:c r="P316" s="13" t="str">
        <x:v>Alitan sa negosyo na may written arbitration clause</x:v>
      </x:c>
      <x:c r="Q316" s="13" t="str">
        <x:v>Added to balance 'outside-KP' to 49 examples using the same Justice KP label schema.</x:v>
      </x:c>
      <x:c r="R316" s="13" t="str">
        <x:v>Synthetic row based on category coverage gap from uploaded PDF</x:v>
      </x:c>
    </x:row>
    <x:row r="317" ht="36" customHeight="1">
      <x:c r="A317" s="13" t="str">
        <x:v>SYN-OUT-009</x:v>
      </x:c>
      <x:c r="B317" s="13" t="str">
        <x:v>outside-KP</x:v>
      </x:c>
      <x:c r="C317" s="13" t="str">
        <x:v>Synthetic</x:v>
      </x:c>
      <x:c r="D317" s="13" t="str"/>
      <x:c r="E317" s="13" t="str">
        <x:v>Review</x:v>
      </x:c>
      <x:c r="F317" s="13" t="str">
        <x:v>Reklamo laban sa hindi matukoy na online account</x:v>
      </x:c>
      <x:c r="G317" s="13" t="str">
        <x:v>February 2, 2026</x:v>
      </x:c>
      <x:c r="H317" s="13" t="str">
        <x:v>-</x:v>
      </x:c>
      <x:c r="I317" s="13" t="str">
        <x:v>Synthetic example: facts indicate matter is outside ordinary barangay conciliation or needs another forum.</x:v>
      </x:c>
      <x:c r="J317" s="13" t="str">
        <x:v>Review</x:v>
      </x:c>
      <x:c r="K317" s="13" t="str">
        <x:v>NON_KP_REVIEW</x:v>
      </x:c>
      <x:c r="L317" s="13" t="str">
        <x:v>Needs legal/KP eligibility review</x:v>
      </x:c>
      <x:c r="M317" s="13" t="str">
        <x:v>Flag as outside ordinary KP and route to proper agency or legal review</x:v>
      </x:c>
      <x:c r="N317" s="13" t="str">
        <x:v>Outside ordinary KP coverage or lacks required barangay jurisdiction facts.</x:v>
      </x:c>
      <x:c r="O317" s="13" t="str"/>
      <x:c r="P317" s="13" t="str">
        <x:v>Reklamo laban sa hindi matukoy na online account</x:v>
      </x:c>
      <x:c r="Q317" s="13" t="str">
        <x:v>Added to balance 'outside-KP' to 49 examples using the same Justice KP label schema.</x:v>
      </x:c>
      <x:c r="R317" s="13" t="str">
        <x:v>Synthetic row based on category coverage gap from uploaded PDF</x:v>
      </x:c>
    </x:row>
    <x:row r="318" ht="36" customHeight="1">
      <x:c r="A318" s="13" t="str">
        <x:v>SYN-OUT-010</x:v>
      </x:c>
      <x:c r="B318" s="13" t="str">
        <x:v>outside-KP</x:v>
      </x:c>
      <x:c r="C318" s="13" t="str">
        <x:v>Synthetic</x:v>
      </x:c>
      <x:c r="D318" s="13" t="str"/>
      <x:c r="E318" s="13" t="str">
        <x:v>Review</x:v>
      </x:c>
      <x:c r="F318" s="13" t="str">
        <x:v>Insurance claim dispute na dapat idaan sa insurer/regulator</x:v>
      </x:c>
      <x:c r="G318" s="13" t="str">
        <x:v>February 5, 2026</x:v>
      </x:c>
      <x:c r="H318" s="13" t="str">
        <x:v>-</x:v>
      </x:c>
      <x:c r="I318" s="13" t="str">
        <x:v>Synthetic example: facts indicate matter is outside ordinary barangay conciliation or needs another forum.</x:v>
      </x:c>
      <x:c r="J318" s="13" t="str">
        <x:v>Review</x:v>
      </x:c>
      <x:c r="K318" s="13" t="str">
        <x:v>NON_KP_REVIEW</x:v>
      </x:c>
      <x:c r="L318" s="13" t="str">
        <x:v>Needs legal/KP eligibility review</x:v>
      </x:c>
      <x:c r="M318" s="13" t="str">
        <x:v>Flag as outside ordinary KP and route to proper agency or legal review</x:v>
      </x:c>
      <x:c r="N318" s="13" t="str">
        <x:v>Outside ordinary KP coverage or lacks required barangay jurisdiction facts.</x:v>
      </x:c>
      <x:c r="O318" s="13" t="str"/>
      <x:c r="P318" s="13" t="str">
        <x:v>Insurance claim dispute na dapat idaan sa insurer/regulator</x:v>
      </x:c>
      <x:c r="Q318" s="13" t="str">
        <x:v>Added to balance 'outside-KP' to 49 examples using the same Justice KP label schema.</x:v>
      </x:c>
      <x:c r="R318" s="13" t="str">
        <x:v>Synthetic row based on category coverage gap from uploaded PDF</x:v>
      </x:c>
    </x:row>
    <x:row r="319" ht="36" customHeight="1">
      <x:c r="A319" s="13" t="str">
        <x:v>SYN-OUT-011</x:v>
      </x:c>
      <x:c r="B319" s="13" t="str">
        <x:v>outside-KP</x:v>
      </x:c>
      <x:c r="C319" s="13" t="str">
        <x:v>Synthetic</x:v>
      </x:c>
      <x:c r="D319" s="13" t="str"/>
      <x:c r="E319" s="13" t="str">
        <x:v>Review</x:v>
      </x:c>
      <x:c r="F319" s="13" t="str">
        <x:v>Aksidenteng kinasasangkutan ng sasakyan na kailangan ng police report</x:v>
      </x:c>
      <x:c r="G319" s="13" t="str">
        <x:v>February 8, 2026</x:v>
      </x:c>
      <x:c r="H319" s="13" t="str">
        <x:v>-</x:v>
      </x:c>
      <x:c r="I319" s="13" t="str">
        <x:v>Synthetic example: facts indicate matter is outside ordinary barangay conciliation or needs another forum.</x:v>
      </x:c>
      <x:c r="J319" s="13" t="str">
        <x:v>Review</x:v>
      </x:c>
      <x:c r="K319" s="13" t="str">
        <x:v>NON_KP_REVIEW</x:v>
      </x:c>
      <x:c r="L319" s="13" t="str">
        <x:v>Needs legal/KP eligibility review</x:v>
      </x:c>
      <x:c r="M319" s="13" t="str">
        <x:v>Flag as outside ordinary KP and route to proper agency or legal review</x:v>
      </x:c>
      <x:c r="N319" s="13" t="str">
        <x:v>Outside ordinary KP coverage or lacks required barangay jurisdiction facts.</x:v>
      </x:c>
      <x:c r="O319" s="13" t="str"/>
      <x:c r="P319" s="13" t="str">
        <x:v>Aksidenteng kinasasangkutan ng sasakyan na kailangan ng police report</x:v>
      </x:c>
      <x:c r="Q319" s="13" t="str">
        <x:v>Added to balance 'outside-KP' to 49 examples using the same Justice KP label schema.</x:v>
      </x:c>
      <x:c r="R319" s="13" t="str">
        <x:v>Synthetic row based on category coverage gap from uploaded PDF</x:v>
      </x:c>
    </x:row>
    <x:row r="320" ht="36" customHeight="1">
      <x:c r="A320" s="13" t="str">
        <x:v>SYN-OUT-012</x:v>
      </x:c>
      <x:c r="B320" s="13" t="str">
        <x:v>outside-KP</x:v>
      </x:c>
      <x:c r="C320" s="13" t="str">
        <x:v>Synthetic</x:v>
      </x:c>
      <x:c r="D320" s="13" t="str"/>
      <x:c r="E320" s="13" t="str">
        <x:v>Review</x:v>
      </x:c>
      <x:c r="F320" s="13" t="str">
        <x:v>Usaping corporate contract na hindi personal na barangay dispute</x:v>
      </x:c>
      <x:c r="G320" s="13" t="str">
        <x:v>February 11, 2026</x:v>
      </x:c>
      <x:c r="H320" s="13" t="str">
        <x:v>-</x:v>
      </x:c>
      <x:c r="I320" s="13" t="str">
        <x:v>Synthetic example: facts indicate matter is outside ordinary barangay conciliation or needs another forum.</x:v>
      </x:c>
      <x:c r="J320" s="13" t="str">
        <x:v>Review</x:v>
      </x:c>
      <x:c r="K320" s="13" t="str">
        <x:v>NON_KP_REVIEW</x:v>
      </x:c>
      <x:c r="L320" s="13" t="str">
        <x:v>Needs legal/KP eligibility review</x:v>
      </x:c>
      <x:c r="M320" s="13" t="str">
        <x:v>Flag as outside ordinary KP and route to proper agency or legal review</x:v>
      </x:c>
      <x:c r="N320" s="13" t="str">
        <x:v>Outside ordinary KP coverage or lacks required barangay jurisdiction facts.</x:v>
      </x:c>
      <x:c r="O320" s="13" t="str"/>
      <x:c r="P320" s="13" t="str">
        <x:v>Usaping corporate contract na hindi personal na barangay dispute</x:v>
      </x:c>
      <x:c r="Q320" s="13" t="str">
        <x:v>Added to balance 'outside-KP' to 49 examples using the same Justice KP label schema.</x:v>
      </x:c>
      <x:c r="R320" s="13" t="str">
        <x:v>Synthetic row based on category coverage gap from uploaded PDF</x:v>
      </x:c>
    </x:row>
    <x:row r="321" ht="36" customHeight="1">
      <x:c r="A321" s="13" t="str">
        <x:v>SYN-OUT-013</x:v>
      </x:c>
      <x:c r="B321" s="13" t="str">
        <x:v>outside-KP</x:v>
      </x:c>
      <x:c r="C321" s="13" t="str">
        <x:v>Synthetic</x:v>
      </x:c>
      <x:c r="D321" s="13" t="str"/>
      <x:c r="E321" s="13" t="str">
        <x:v>Review</x:v>
      </x:c>
      <x:c r="F321" s="13" t="str">
        <x:v>Reklamo sa online scam na hindi kilala ang respondent</x:v>
      </x:c>
      <x:c r="G321" s="13" t="str">
        <x:v>February 14, 2026</x:v>
      </x:c>
      <x:c r="H321" s="13" t="str">
        <x:v>-</x:v>
      </x:c>
      <x:c r="I321" s="13" t="str">
        <x:v>Synthetic example: facts indicate matter is outside ordinary barangay conciliation or needs another forum.</x:v>
      </x:c>
      <x:c r="J321" s="13" t="str">
        <x:v>Review</x:v>
      </x:c>
      <x:c r="K321" s="13" t="str">
        <x:v>NON_KP_REVIEW</x:v>
      </x:c>
      <x:c r="L321" s="13" t="str">
        <x:v>Needs legal/KP eligibility review</x:v>
      </x:c>
      <x:c r="M321" s="13" t="str">
        <x:v>Flag as outside ordinary KP and route to proper agency or legal review</x:v>
      </x:c>
      <x:c r="N321" s="13" t="str">
        <x:v>Outside ordinary KP coverage or lacks required barangay jurisdiction facts.</x:v>
      </x:c>
      <x:c r="O321" s="13" t="str"/>
      <x:c r="P321" s="13" t="str">
        <x:v>Reklamo sa online scam na hindi kilala ang respondent</x:v>
      </x:c>
      <x:c r="Q321" s="13" t="str">
        <x:v>Added to balance 'outside-KP' to 49 examples using the same Justice KP label schema.</x:v>
      </x:c>
      <x:c r="R321" s="13" t="str">
        <x:v>Synthetic row based on category coverage gap from uploaded PDF</x:v>
      </x:c>
    </x:row>
    <x:row r="322" ht="36" customHeight="1">
      <x:c r="A322" s="13" t="str">
        <x:v>SYN-OUT-014</x:v>
      </x:c>
      <x:c r="B322" s="13" t="str">
        <x:v>outside-KP</x:v>
      </x:c>
      <x:c r="C322" s="13" t="str">
        <x:v>Synthetic</x:v>
      </x:c>
      <x:c r="D322" s="13" t="str"/>
      <x:c r="E322" s="13" t="str">
        <x:v>Review</x:v>
      </x:c>
      <x:c r="F322" s="13" t="str">
        <x:v>Away na ang respondent ay residente ng ibang lungsod at hindi sakop</x:v>
      </x:c>
      <x:c r="G322" s="13" t="str">
        <x:v>February 17, 2026</x:v>
      </x:c>
      <x:c r="H322" s="13" t="str">
        <x:v>-</x:v>
      </x:c>
      <x:c r="I322" s="13" t="str">
        <x:v>Synthetic example: facts indicate matter is outside ordinary barangay conciliation or needs another forum.</x:v>
      </x:c>
      <x:c r="J322" s="13" t="str">
        <x:v>Review</x:v>
      </x:c>
      <x:c r="K322" s="13" t="str">
        <x:v>NON_KP_REVIEW</x:v>
      </x:c>
      <x:c r="L322" s="13" t="str">
        <x:v>Needs legal/KP eligibility review</x:v>
      </x:c>
      <x:c r="M322" s="13" t="str">
        <x:v>Flag as outside ordinary KP and route to proper agency or legal review</x:v>
      </x:c>
      <x:c r="N322" s="13" t="str">
        <x:v>Outside ordinary KP coverage or lacks required barangay jurisdiction facts.</x:v>
      </x:c>
      <x:c r="O322" s="13" t="str"/>
      <x:c r="P322" s="13" t="str">
        <x:v>Away na ang respondent ay residente ng ibang lungsod at hindi sakop</x:v>
      </x:c>
      <x:c r="Q322" s="13" t="str">
        <x:v>Added to balance 'outside-KP' to 49 examples using the same Justice KP label schema.</x:v>
      </x:c>
      <x:c r="R322" s="13" t="str">
        <x:v>Synthetic row based on category coverage gap from uploaded PDF</x:v>
      </x:c>
    </x:row>
    <x:row r="323" ht="36" customHeight="1">
      <x:c r="A323" s="13" t="str">
        <x:v>SYN-OUT-015</x:v>
      </x:c>
      <x:c r="B323" s="13" t="str">
        <x:v>outside-KP</x:v>
      </x:c>
      <x:c r="C323" s="13" t="str">
        <x:v>Synthetic</x:v>
      </x:c>
      <x:c r="D323" s="13" t="str"/>
      <x:c r="E323" s="13" t="str">
        <x:v>Review</x:v>
      </x:c>
      <x:c r="F323" s="13" t="str">
        <x:v>Cyber-related complaint na nangangailangan ng specialized investigation</x:v>
      </x:c>
      <x:c r="G323" s="13" t="str">
        <x:v>February 20, 2026</x:v>
      </x:c>
      <x:c r="H323" s="13" t="str">
        <x:v>-</x:v>
      </x:c>
      <x:c r="I323" s="13" t="str">
        <x:v>Synthetic example: facts indicate matter is outside ordinary barangay conciliation or needs another forum.</x:v>
      </x:c>
      <x:c r="J323" s="13" t="str">
        <x:v>Review</x:v>
      </x:c>
      <x:c r="K323" s="13" t="str">
        <x:v>NON_KP_REVIEW</x:v>
      </x:c>
      <x:c r="L323" s="13" t="str">
        <x:v>Needs legal/KP eligibility review</x:v>
      </x:c>
      <x:c r="M323" s="13" t="str">
        <x:v>Flag as outside ordinary KP and route to proper agency or legal review</x:v>
      </x:c>
      <x:c r="N323" s="13" t="str">
        <x:v>Outside ordinary KP coverage or lacks required barangay jurisdiction facts.</x:v>
      </x:c>
      <x:c r="O323" s="13" t="str"/>
      <x:c r="P323" s="13" t="str">
        <x:v>Cyber-related complaint na nangangailangan ng specialized investigation</x:v>
      </x:c>
      <x:c r="Q323" s="13" t="str">
        <x:v>Added to balance 'outside-KP' to 49 examples using the same Justice KP label schema.</x:v>
      </x:c>
      <x:c r="R323" s="13" t="str">
        <x:v>Synthetic row based on category coverage gap from uploaded PDF</x:v>
      </x:c>
    </x:row>
    <x:row r="324" ht="36" customHeight="1">
      <x:c r="A324" s="13" t="str">
        <x:v>SYN-OUT-016</x:v>
      </x:c>
      <x:c r="B324" s="13" t="str">
        <x:v>outside-KP</x:v>
      </x:c>
      <x:c r="C324" s="13" t="str">
        <x:v>Synthetic</x:v>
      </x:c>
      <x:c r="D324" s="13" t="str"/>
      <x:c r="E324" s="13" t="str">
        <x:v>Review</x:v>
      </x:c>
      <x:c r="F324" s="13" t="str">
        <x:v>Dispute sa lupa na may titulo at kailangan ng korte/registrar</x:v>
      </x:c>
      <x:c r="G324" s="13" t="str">
        <x:v>February 23, 2026</x:v>
      </x:c>
      <x:c r="H324" s="13" t="str">
        <x:v>-</x:v>
      </x:c>
      <x:c r="I324" s="13" t="str">
        <x:v>Synthetic example: facts indicate matter is outside ordinary barangay conciliation or needs another forum.</x:v>
      </x:c>
      <x:c r="J324" s="13" t="str">
        <x:v>Review</x:v>
      </x:c>
      <x:c r="K324" s="13" t="str">
        <x:v>NON_KP_REVIEW</x:v>
      </x:c>
      <x:c r="L324" s="13" t="str">
        <x:v>Needs legal/KP eligibility review</x:v>
      </x:c>
      <x:c r="M324" s="13" t="str">
        <x:v>Flag as outside ordinary KP and route to proper agency or legal review</x:v>
      </x:c>
      <x:c r="N324" s="13" t="str">
        <x:v>Outside ordinary KP coverage or lacks required barangay jurisdiction facts.</x:v>
      </x:c>
      <x:c r="O324" s="13" t="str"/>
      <x:c r="P324" s="13" t="str">
        <x:v>Dispute sa lupa na may titulo at kailangan ng korte/registrar</x:v>
      </x:c>
      <x:c r="Q324" s="13" t="str">
        <x:v>Added to balance 'outside-KP' to 49 examples using the same Justice KP label schema.</x:v>
      </x:c>
      <x:c r="R324" s="13" t="str">
        <x:v>Synthetic row based on category coverage gap from uploaded PDF</x:v>
      </x:c>
    </x:row>
    <x:row r="325" ht="36" customHeight="1">
      <x:c r="A325" s="13" t="str">
        <x:v>SYN-OUT-017</x:v>
      </x:c>
      <x:c r="B325" s="13" t="str">
        <x:v>outside-KP</x:v>
      </x:c>
      <x:c r="C325" s="13" t="str">
        <x:v>Synthetic</x:v>
      </x:c>
      <x:c r="D325" s="13" t="str"/>
      <x:c r="E325" s="13" t="str">
        <x:v>Review</x:v>
      </x:c>
      <x:c r="F325" s="13" t="str">
        <x:v>Reklamo tungkol sa employment dismissal sa pribadong kumpanya</x:v>
      </x:c>
      <x:c r="G325" s="13" t="str">
        <x:v>February 26, 2026</x:v>
      </x:c>
      <x:c r="H325" s="13" t="str">
        <x:v>-</x:v>
      </x:c>
      <x:c r="I325" s="13" t="str">
        <x:v>Synthetic example: facts indicate matter is outside ordinary barangay conciliation or needs another forum.</x:v>
      </x:c>
      <x:c r="J325" s="13" t="str">
        <x:v>Review</x:v>
      </x:c>
      <x:c r="K325" s="13" t="str">
        <x:v>NON_KP_REVIEW</x:v>
      </x:c>
      <x:c r="L325" s="13" t="str">
        <x:v>Needs legal/KP eligibility review</x:v>
      </x:c>
      <x:c r="M325" s="13" t="str">
        <x:v>Flag as outside ordinary KP and route to proper agency or legal review</x:v>
      </x:c>
      <x:c r="N325" s="13" t="str">
        <x:v>Outside ordinary KP coverage or lacks required barangay jurisdiction facts.</x:v>
      </x:c>
      <x:c r="O325" s="13" t="str"/>
      <x:c r="P325" s="13" t="str">
        <x:v>Reklamo tungkol sa employment dismissal sa pribadong kumpanya</x:v>
      </x:c>
      <x:c r="Q325" s="13" t="str">
        <x:v>Added to balance 'outside-KP' to 49 examples using the same Justice KP label schema.</x:v>
      </x:c>
      <x:c r="R325" s="13" t="str">
        <x:v>Synthetic row based on category coverage gap from uploaded PDF</x:v>
      </x:c>
    </x:row>
    <x:row r="326" ht="36" customHeight="1">
      <x:c r="A326" s="13" t="str">
        <x:v>SYN-OUT-018</x:v>
      </x:c>
      <x:c r="B326" s="13" t="str">
        <x:v>outside-KP</x:v>
      </x:c>
      <x:c r="C326" s="13" t="str">
        <x:v>Synthetic</x:v>
      </x:c>
      <x:c r="D326" s="13" t="str"/>
      <x:c r="E326" s="13" t="str">
        <x:v>Review</x:v>
      </x:c>
      <x:c r="F326" s="13" t="str">
        <x:v>Alitan sa negosyo na may written arbitration clause</x:v>
      </x:c>
      <x:c r="G326" s="13" t="str">
        <x:v>March 1, 2026</x:v>
      </x:c>
      <x:c r="H326" s="13" t="str">
        <x:v>-</x:v>
      </x:c>
      <x:c r="I326" s="13" t="str">
        <x:v>Synthetic example: facts indicate matter is outside ordinary barangay conciliation or needs another forum.</x:v>
      </x:c>
      <x:c r="J326" s="13" t="str">
        <x:v>Review</x:v>
      </x:c>
      <x:c r="K326" s="13" t="str">
        <x:v>NON_KP_REVIEW</x:v>
      </x:c>
      <x:c r="L326" s="13" t="str">
        <x:v>Needs legal/KP eligibility review</x:v>
      </x:c>
      <x:c r="M326" s="13" t="str">
        <x:v>Flag as outside ordinary KP and route to proper agency or legal review</x:v>
      </x:c>
      <x:c r="N326" s="13" t="str">
        <x:v>Outside ordinary KP coverage or lacks required barangay jurisdiction facts.</x:v>
      </x:c>
      <x:c r="O326" s="13" t="str"/>
      <x:c r="P326" s="13" t="str">
        <x:v>Alitan sa negosyo na may written arbitration clause</x:v>
      </x:c>
      <x:c r="Q326" s="13" t="str">
        <x:v>Added to balance 'outside-KP' to 49 examples using the same Justice KP label schema.</x:v>
      </x:c>
      <x:c r="R326" s="13" t="str">
        <x:v>Synthetic row based on category coverage gap from uploaded PDF</x:v>
      </x:c>
    </x:row>
    <x:row r="327" ht="36" customHeight="1">
      <x:c r="A327" s="13" t="str">
        <x:v>SYN-OUT-019</x:v>
      </x:c>
      <x:c r="B327" s="13" t="str">
        <x:v>outside-KP</x:v>
      </x:c>
      <x:c r="C327" s="13" t="str">
        <x:v>Synthetic</x:v>
      </x:c>
      <x:c r="D327" s="13" t="str"/>
      <x:c r="E327" s="13" t="str">
        <x:v>Review</x:v>
      </x:c>
      <x:c r="F327" s="13" t="str">
        <x:v>Reklamo laban sa hindi matukoy na online account</x:v>
      </x:c>
      <x:c r="G327" s="13" t="str">
        <x:v>March 4, 2026</x:v>
      </x:c>
      <x:c r="H327" s="13" t="str">
        <x:v>-</x:v>
      </x:c>
      <x:c r="I327" s="13" t="str">
        <x:v>Synthetic example: facts indicate matter is outside ordinary barangay conciliation or needs another forum.</x:v>
      </x:c>
      <x:c r="J327" s="13" t="str">
        <x:v>Review</x:v>
      </x:c>
      <x:c r="K327" s="13" t="str">
        <x:v>NON_KP_REVIEW</x:v>
      </x:c>
      <x:c r="L327" s="13" t="str">
        <x:v>Needs legal/KP eligibility review</x:v>
      </x:c>
      <x:c r="M327" s="13" t="str">
        <x:v>Flag as outside ordinary KP and route to proper agency or legal review</x:v>
      </x:c>
      <x:c r="N327" s="13" t="str">
        <x:v>Outside ordinary KP coverage or lacks required barangay jurisdiction facts.</x:v>
      </x:c>
      <x:c r="O327" s="13" t="str"/>
      <x:c r="P327" s="13" t="str">
        <x:v>Reklamo laban sa hindi matukoy na online account</x:v>
      </x:c>
      <x:c r="Q327" s="13" t="str">
        <x:v>Added to balance 'outside-KP' to 49 examples using the same Justice KP label schema.</x:v>
      </x:c>
      <x:c r="R327" s="13" t="str">
        <x:v>Synthetic row based on category coverage gap from uploaded PDF</x:v>
      </x:c>
    </x:row>
    <x:row r="328" ht="36" customHeight="1">
      <x:c r="A328" s="13" t="str">
        <x:v>SYN-OUT-020</x:v>
      </x:c>
      <x:c r="B328" s="13" t="str">
        <x:v>outside-KP</x:v>
      </x:c>
      <x:c r="C328" s="13" t="str">
        <x:v>Synthetic</x:v>
      </x:c>
      <x:c r="D328" s="13" t="str"/>
      <x:c r="E328" s="13" t="str">
        <x:v>Review</x:v>
      </x:c>
      <x:c r="F328" s="13" t="str">
        <x:v>Insurance claim dispute na dapat idaan sa insurer/regulator</x:v>
      </x:c>
      <x:c r="G328" s="13" t="str">
        <x:v>March 7, 2026</x:v>
      </x:c>
      <x:c r="H328" s="13" t="str">
        <x:v>-</x:v>
      </x:c>
      <x:c r="I328" s="13" t="str">
        <x:v>Synthetic example: facts indicate matter is outside ordinary barangay conciliation or needs another forum.</x:v>
      </x:c>
      <x:c r="J328" s="13" t="str">
        <x:v>Review</x:v>
      </x:c>
      <x:c r="K328" s="13" t="str">
        <x:v>NON_KP_REVIEW</x:v>
      </x:c>
      <x:c r="L328" s="13" t="str">
        <x:v>Needs legal/KP eligibility review</x:v>
      </x:c>
      <x:c r="M328" s="13" t="str">
        <x:v>Flag as outside ordinary KP and route to proper agency or legal review</x:v>
      </x:c>
      <x:c r="N328" s="13" t="str">
        <x:v>Outside ordinary KP coverage or lacks required barangay jurisdiction facts.</x:v>
      </x:c>
      <x:c r="O328" s="13" t="str"/>
      <x:c r="P328" s="13" t="str">
        <x:v>Insurance claim dispute na dapat idaan sa insurer/regulator</x:v>
      </x:c>
      <x:c r="Q328" s="13" t="str">
        <x:v>Added to balance 'outside-KP' to 49 examples using the same Justice KP label schema.</x:v>
      </x:c>
      <x:c r="R328" s="13" t="str">
        <x:v>Synthetic row based on category coverage gap from uploaded PDF</x:v>
      </x:c>
    </x:row>
    <x:row r="329" ht="36" customHeight="1">
      <x:c r="A329" s="13" t="str">
        <x:v>SYN-OUT-021</x:v>
      </x:c>
      <x:c r="B329" s="13" t="str">
        <x:v>outside-KP</x:v>
      </x:c>
      <x:c r="C329" s="13" t="str">
        <x:v>Synthetic</x:v>
      </x:c>
      <x:c r="D329" s="13" t="str"/>
      <x:c r="E329" s="13" t="str">
        <x:v>Review</x:v>
      </x:c>
      <x:c r="F329" s="13" t="str">
        <x:v>Aksidenteng kinasasangkutan ng sasakyan na kailangan ng police report</x:v>
      </x:c>
      <x:c r="G329" s="13" t="str">
        <x:v>March 10, 2026</x:v>
      </x:c>
      <x:c r="H329" s="13" t="str">
        <x:v>-</x:v>
      </x:c>
      <x:c r="I329" s="13" t="str">
        <x:v>Synthetic example: facts indicate matter is outside ordinary barangay conciliation or needs another forum.</x:v>
      </x:c>
      <x:c r="J329" s="13" t="str">
        <x:v>Review</x:v>
      </x:c>
      <x:c r="K329" s="13" t="str">
        <x:v>NON_KP_REVIEW</x:v>
      </x:c>
      <x:c r="L329" s="13" t="str">
        <x:v>Needs legal/KP eligibility review</x:v>
      </x:c>
      <x:c r="M329" s="13" t="str">
        <x:v>Flag as outside ordinary KP and route to proper agency or legal review</x:v>
      </x:c>
      <x:c r="N329" s="13" t="str">
        <x:v>Outside ordinary KP coverage or lacks required barangay jurisdiction facts.</x:v>
      </x:c>
      <x:c r="O329" s="13" t="str"/>
      <x:c r="P329" s="13" t="str">
        <x:v>Aksidenteng kinasasangkutan ng sasakyan na kailangan ng police report</x:v>
      </x:c>
      <x:c r="Q329" s="13" t="str">
        <x:v>Added to balance 'outside-KP' to 49 examples using the same Justice KP label schema.</x:v>
      </x:c>
      <x:c r="R329" s="13" t="str">
        <x:v>Synthetic row based on category coverage gap from uploaded PDF</x:v>
      </x:c>
    </x:row>
    <x:row r="330" ht="36" customHeight="1">
      <x:c r="A330" s="13" t="str">
        <x:v>SYN-OUT-022</x:v>
      </x:c>
      <x:c r="B330" s="13" t="str">
        <x:v>outside-KP</x:v>
      </x:c>
      <x:c r="C330" s="13" t="str">
        <x:v>Synthetic</x:v>
      </x:c>
      <x:c r="D330" s="13" t="str"/>
      <x:c r="E330" s="13" t="str">
        <x:v>Review</x:v>
      </x:c>
      <x:c r="F330" s="13" t="str">
        <x:v>Usaping corporate contract na hindi personal na barangay dispute</x:v>
      </x:c>
      <x:c r="G330" s="13" t="str">
        <x:v>March 13, 2026</x:v>
      </x:c>
      <x:c r="H330" s="13" t="str">
        <x:v>-</x:v>
      </x:c>
      <x:c r="I330" s="13" t="str">
        <x:v>Synthetic example: facts indicate matter is outside ordinary barangay conciliation or needs another forum.</x:v>
      </x:c>
      <x:c r="J330" s="13" t="str">
        <x:v>Review</x:v>
      </x:c>
      <x:c r="K330" s="13" t="str">
        <x:v>NON_KP_REVIEW</x:v>
      </x:c>
      <x:c r="L330" s="13" t="str">
        <x:v>Needs legal/KP eligibility review</x:v>
      </x:c>
      <x:c r="M330" s="13" t="str">
        <x:v>Flag as outside ordinary KP and route to proper agency or legal review</x:v>
      </x:c>
      <x:c r="N330" s="13" t="str">
        <x:v>Outside ordinary KP coverage or lacks required barangay jurisdiction facts.</x:v>
      </x:c>
      <x:c r="O330" s="13" t="str"/>
      <x:c r="P330" s="13" t="str">
        <x:v>Usaping corporate contract na hindi personal na barangay dispute</x:v>
      </x:c>
      <x:c r="Q330" s="13" t="str">
        <x:v>Added to balance 'outside-KP' to 49 examples using the same Justice KP label schema.</x:v>
      </x:c>
      <x:c r="R330" s="13" t="str">
        <x:v>Synthetic row based on category coverage gap from uploaded PDF</x:v>
      </x:c>
    </x:row>
    <x:row r="331" ht="36" customHeight="1">
      <x:c r="A331" s="13" t="str">
        <x:v>SYN-OUT-023</x:v>
      </x:c>
      <x:c r="B331" s="13" t="str">
        <x:v>outside-KP</x:v>
      </x:c>
      <x:c r="C331" s="13" t="str">
        <x:v>Synthetic</x:v>
      </x:c>
      <x:c r="D331" s="13" t="str"/>
      <x:c r="E331" s="13" t="str">
        <x:v>Review</x:v>
      </x:c>
      <x:c r="F331" s="13" t="str">
        <x:v>Reklamo sa online scam na hindi kilala ang respondent</x:v>
      </x:c>
      <x:c r="G331" s="13" t="str">
        <x:v>March 16, 2026</x:v>
      </x:c>
      <x:c r="H331" s="13" t="str">
        <x:v>-</x:v>
      </x:c>
      <x:c r="I331" s="13" t="str">
        <x:v>Synthetic example: facts indicate matter is outside ordinary barangay conciliation or needs another forum.</x:v>
      </x:c>
      <x:c r="J331" s="13" t="str">
        <x:v>Review</x:v>
      </x:c>
      <x:c r="K331" s="13" t="str">
        <x:v>NON_KP_REVIEW</x:v>
      </x:c>
      <x:c r="L331" s="13" t="str">
        <x:v>Needs legal/KP eligibility review</x:v>
      </x:c>
      <x:c r="M331" s="13" t="str">
        <x:v>Flag as outside ordinary KP and route to proper agency or legal review</x:v>
      </x:c>
      <x:c r="N331" s="13" t="str">
        <x:v>Outside ordinary KP coverage or lacks required barangay jurisdiction facts.</x:v>
      </x:c>
      <x:c r="O331" s="13" t="str"/>
      <x:c r="P331" s="13" t="str">
        <x:v>Reklamo sa online scam na hindi kilala ang respondent</x:v>
      </x:c>
      <x:c r="Q331" s="13" t="str">
        <x:v>Added to balance 'outside-KP' to 49 examples using the same Justice KP label schema.</x:v>
      </x:c>
      <x:c r="R331" s="13" t="str">
        <x:v>Synthetic row based on category coverage gap from uploaded PDF</x:v>
      </x:c>
    </x:row>
    <x:row r="332" ht="36" customHeight="1">
      <x:c r="A332" s="13" t="str">
        <x:v>SYN-OUT-024</x:v>
      </x:c>
      <x:c r="B332" s="13" t="str">
        <x:v>outside-KP</x:v>
      </x:c>
      <x:c r="C332" s="13" t="str">
        <x:v>Synthetic</x:v>
      </x:c>
      <x:c r="D332" s="13" t="str"/>
      <x:c r="E332" s="13" t="str">
        <x:v>Review</x:v>
      </x:c>
      <x:c r="F332" s="13" t="str">
        <x:v>Away na ang respondent ay residente ng ibang lungsod at hindi sakop</x:v>
      </x:c>
      <x:c r="G332" s="13" t="str">
        <x:v>March 19, 2026</x:v>
      </x:c>
      <x:c r="H332" s="13" t="str">
        <x:v>-</x:v>
      </x:c>
      <x:c r="I332" s="13" t="str">
        <x:v>Synthetic example: facts indicate matter is outside ordinary barangay conciliation or needs another forum.</x:v>
      </x:c>
      <x:c r="J332" s="13" t="str">
        <x:v>Review</x:v>
      </x:c>
      <x:c r="K332" s="13" t="str">
        <x:v>NON_KP_REVIEW</x:v>
      </x:c>
      <x:c r="L332" s="13" t="str">
        <x:v>Needs legal/KP eligibility review</x:v>
      </x:c>
      <x:c r="M332" s="13" t="str">
        <x:v>Flag as outside ordinary KP and route to proper agency or legal review</x:v>
      </x:c>
      <x:c r="N332" s="13" t="str">
        <x:v>Outside ordinary KP coverage or lacks required barangay jurisdiction facts.</x:v>
      </x:c>
      <x:c r="O332" s="13" t="str"/>
      <x:c r="P332" s="13" t="str">
        <x:v>Away na ang respondent ay residente ng ibang lungsod at hindi sakop</x:v>
      </x:c>
      <x:c r="Q332" s="13" t="str">
        <x:v>Added to balance 'outside-KP' to 49 examples using the same Justice KP label schema.</x:v>
      </x:c>
      <x:c r="R332" s="13" t="str">
        <x:v>Synthetic row based on category coverage gap from uploaded PDF</x:v>
      </x:c>
    </x:row>
    <x:row r="333" ht="36" customHeight="1">
      <x:c r="A333" s="13" t="str">
        <x:v>SYN-OUT-025</x:v>
      </x:c>
      <x:c r="B333" s="13" t="str">
        <x:v>outside-KP</x:v>
      </x:c>
      <x:c r="C333" s="13" t="str">
        <x:v>Synthetic</x:v>
      </x:c>
      <x:c r="D333" s="13" t="str"/>
      <x:c r="E333" s="13" t="str">
        <x:v>Review</x:v>
      </x:c>
      <x:c r="F333" s="13" t="str">
        <x:v>Cyber-related complaint na nangangailangan ng specialized investigation</x:v>
      </x:c>
      <x:c r="G333" s="13" t="str">
        <x:v>March 22, 2026</x:v>
      </x:c>
      <x:c r="H333" s="13" t="str">
        <x:v>-</x:v>
      </x:c>
      <x:c r="I333" s="13" t="str">
        <x:v>Synthetic example: facts indicate matter is outside ordinary barangay conciliation or needs another forum.</x:v>
      </x:c>
      <x:c r="J333" s="13" t="str">
        <x:v>Review</x:v>
      </x:c>
      <x:c r="K333" s="13" t="str">
        <x:v>NON_KP_REVIEW</x:v>
      </x:c>
      <x:c r="L333" s="13" t="str">
        <x:v>Needs legal/KP eligibility review</x:v>
      </x:c>
      <x:c r="M333" s="13" t="str">
        <x:v>Flag as outside ordinary KP and route to proper agency or legal review</x:v>
      </x:c>
      <x:c r="N333" s="13" t="str">
        <x:v>Outside ordinary KP coverage or lacks required barangay jurisdiction facts.</x:v>
      </x:c>
      <x:c r="O333" s="13" t="str"/>
      <x:c r="P333" s="13" t="str">
        <x:v>Cyber-related complaint na nangangailangan ng specialized investigation</x:v>
      </x:c>
      <x:c r="Q333" s="13" t="str">
        <x:v>Added to balance 'outside-KP' to 49 examples using the same Justice KP label schema.</x:v>
      </x:c>
      <x:c r="R333" s="13" t="str">
        <x:v>Synthetic row based on category coverage gap from uploaded PDF</x:v>
      </x:c>
    </x:row>
    <x:row r="334" ht="36" customHeight="1">
      <x:c r="A334" s="13" t="str">
        <x:v>SYN-OUT-026</x:v>
      </x:c>
      <x:c r="B334" s="13" t="str">
        <x:v>outside-KP</x:v>
      </x:c>
      <x:c r="C334" s="13" t="str">
        <x:v>Synthetic</x:v>
      </x:c>
      <x:c r="D334" s="13" t="str"/>
      <x:c r="E334" s="13" t="str">
        <x:v>Review</x:v>
      </x:c>
      <x:c r="F334" s="13" t="str">
        <x:v>Dispute sa lupa na may titulo at kailangan ng korte/registrar</x:v>
      </x:c>
      <x:c r="G334" s="13" t="str">
        <x:v>March 25, 2026</x:v>
      </x:c>
      <x:c r="H334" s="13" t="str">
        <x:v>-</x:v>
      </x:c>
      <x:c r="I334" s="13" t="str">
        <x:v>Synthetic example: facts indicate matter is outside ordinary barangay conciliation or needs another forum.</x:v>
      </x:c>
      <x:c r="J334" s="13" t="str">
        <x:v>Review</x:v>
      </x:c>
      <x:c r="K334" s="13" t="str">
        <x:v>NON_KP_REVIEW</x:v>
      </x:c>
      <x:c r="L334" s="13" t="str">
        <x:v>Needs legal/KP eligibility review</x:v>
      </x:c>
      <x:c r="M334" s="13" t="str">
        <x:v>Flag as outside ordinary KP and route to proper agency or legal review</x:v>
      </x:c>
      <x:c r="N334" s="13" t="str">
        <x:v>Outside ordinary KP coverage or lacks required barangay jurisdiction facts.</x:v>
      </x:c>
      <x:c r="O334" s="13" t="str"/>
      <x:c r="P334" s="13" t="str">
        <x:v>Dispute sa lupa na may titulo at kailangan ng korte/registrar</x:v>
      </x:c>
      <x:c r="Q334" s="13" t="str">
        <x:v>Added to balance 'outside-KP' to 49 examples using the same Justice KP label schema.</x:v>
      </x:c>
      <x:c r="R334" s="13" t="str">
        <x:v>Synthetic row based on category coverage gap from uploaded PDF</x:v>
      </x:c>
    </x:row>
    <x:row r="335" ht="36" customHeight="1">
      <x:c r="A335" s="13" t="str">
        <x:v>SYN-OUT-027</x:v>
      </x:c>
      <x:c r="B335" s="13" t="str">
        <x:v>outside-KP</x:v>
      </x:c>
      <x:c r="C335" s="13" t="str">
        <x:v>Synthetic</x:v>
      </x:c>
      <x:c r="D335" s="13" t="str"/>
      <x:c r="E335" s="13" t="str">
        <x:v>Review</x:v>
      </x:c>
      <x:c r="F335" s="13" t="str">
        <x:v>Reklamo tungkol sa employment dismissal sa pribadong kumpanya</x:v>
      </x:c>
      <x:c r="G335" s="13" t="str">
        <x:v>March 28, 2026</x:v>
      </x:c>
      <x:c r="H335" s="13" t="str">
        <x:v>-</x:v>
      </x:c>
      <x:c r="I335" s="13" t="str">
        <x:v>Synthetic example: facts indicate matter is outside ordinary barangay conciliation or needs another forum.</x:v>
      </x:c>
      <x:c r="J335" s="13" t="str">
        <x:v>Review</x:v>
      </x:c>
      <x:c r="K335" s="13" t="str">
        <x:v>NON_KP_REVIEW</x:v>
      </x:c>
      <x:c r="L335" s="13" t="str">
        <x:v>Needs legal/KP eligibility review</x:v>
      </x:c>
      <x:c r="M335" s="13" t="str">
        <x:v>Flag as outside ordinary KP and route to proper agency or legal review</x:v>
      </x:c>
      <x:c r="N335" s="13" t="str">
        <x:v>Outside ordinary KP coverage or lacks required barangay jurisdiction facts.</x:v>
      </x:c>
      <x:c r="O335" s="13" t="str"/>
      <x:c r="P335" s="13" t="str">
        <x:v>Reklamo tungkol sa employment dismissal sa pribadong kumpanya</x:v>
      </x:c>
      <x:c r="Q335" s="13" t="str">
        <x:v>Added to balance 'outside-KP' to 49 examples using the same Justice KP label schema.</x:v>
      </x:c>
      <x:c r="R335" s="13" t="str">
        <x:v>Synthetic row based on category coverage gap from uploaded PDF</x:v>
      </x:c>
    </x:row>
    <x:row r="336" ht="36" customHeight="1">
      <x:c r="A336" s="13" t="str">
        <x:v>SYN-OUT-028</x:v>
      </x:c>
      <x:c r="B336" s="13" t="str">
        <x:v>outside-KP</x:v>
      </x:c>
      <x:c r="C336" s="13" t="str">
        <x:v>Synthetic</x:v>
      </x:c>
      <x:c r="D336" s="13" t="str"/>
      <x:c r="E336" s="13" t="str">
        <x:v>Review</x:v>
      </x:c>
      <x:c r="F336" s="13" t="str">
        <x:v>Alitan sa negosyo na may written arbitration clause</x:v>
      </x:c>
      <x:c r="G336" s="13" t="str">
        <x:v>March 31, 2026</x:v>
      </x:c>
      <x:c r="H336" s="13" t="str">
        <x:v>-</x:v>
      </x:c>
      <x:c r="I336" s="13" t="str">
        <x:v>Synthetic example: facts indicate matter is outside ordinary barangay conciliation or needs another forum.</x:v>
      </x:c>
      <x:c r="J336" s="13" t="str">
        <x:v>Review</x:v>
      </x:c>
      <x:c r="K336" s="13" t="str">
        <x:v>NON_KP_REVIEW</x:v>
      </x:c>
      <x:c r="L336" s="13" t="str">
        <x:v>Needs legal/KP eligibility review</x:v>
      </x:c>
      <x:c r="M336" s="13" t="str">
        <x:v>Flag as outside ordinary KP and route to proper agency or legal review</x:v>
      </x:c>
      <x:c r="N336" s="13" t="str">
        <x:v>Outside ordinary KP coverage or lacks required barangay jurisdiction facts.</x:v>
      </x:c>
      <x:c r="O336" s="13" t="str"/>
      <x:c r="P336" s="13" t="str">
        <x:v>Alitan sa negosyo na may written arbitration clause</x:v>
      </x:c>
      <x:c r="Q336" s="13" t="str">
        <x:v>Added to balance 'outside-KP' to 49 examples using the same Justice KP label schema.</x:v>
      </x:c>
      <x:c r="R336" s="13" t="str">
        <x:v>Synthetic row based on category coverage gap from uploaded PDF</x:v>
      </x:c>
    </x:row>
    <x:row r="337" ht="36" customHeight="1">
      <x:c r="A337" s="13" t="str">
        <x:v>SYN-OUT-029</x:v>
      </x:c>
      <x:c r="B337" s="13" t="str">
        <x:v>outside-KP</x:v>
      </x:c>
      <x:c r="C337" s="13" t="str">
        <x:v>Synthetic</x:v>
      </x:c>
      <x:c r="D337" s="13" t="str"/>
      <x:c r="E337" s="13" t="str">
        <x:v>Review</x:v>
      </x:c>
      <x:c r="F337" s="13" t="str">
        <x:v>Reklamo laban sa hindi matukoy na online account</x:v>
      </x:c>
      <x:c r="G337" s="13" t="str">
        <x:v>April 3, 2026</x:v>
      </x:c>
      <x:c r="H337" s="13" t="str">
        <x:v>-</x:v>
      </x:c>
      <x:c r="I337" s="13" t="str">
        <x:v>Synthetic example: facts indicate matter is outside ordinary barangay conciliation or needs another forum.</x:v>
      </x:c>
      <x:c r="J337" s="13" t="str">
        <x:v>Review</x:v>
      </x:c>
      <x:c r="K337" s="13" t="str">
        <x:v>NON_KP_REVIEW</x:v>
      </x:c>
      <x:c r="L337" s="13" t="str">
        <x:v>Needs legal/KP eligibility review</x:v>
      </x:c>
      <x:c r="M337" s="13" t="str">
        <x:v>Flag as outside ordinary KP and route to proper agency or legal review</x:v>
      </x:c>
      <x:c r="N337" s="13" t="str">
        <x:v>Outside ordinary KP coverage or lacks required barangay jurisdiction facts.</x:v>
      </x:c>
      <x:c r="O337" s="13" t="str"/>
      <x:c r="P337" s="13" t="str">
        <x:v>Reklamo laban sa hindi matukoy na online account</x:v>
      </x:c>
      <x:c r="Q337" s="13" t="str">
        <x:v>Added to balance 'outside-KP' to 49 examples using the same Justice KP label schema.</x:v>
      </x:c>
      <x:c r="R337" s="13" t="str">
        <x:v>Synthetic row based on category coverage gap from uploaded PDF</x:v>
      </x:c>
    </x:row>
    <x:row r="338" ht="36" customHeight="1">
      <x:c r="A338" s="13" t="str">
        <x:v>SYN-OUT-030</x:v>
      </x:c>
      <x:c r="B338" s="13" t="str">
        <x:v>outside-KP</x:v>
      </x:c>
      <x:c r="C338" s="13" t="str">
        <x:v>Synthetic</x:v>
      </x:c>
      <x:c r="D338" s="13" t="str"/>
      <x:c r="E338" s="13" t="str">
        <x:v>Review</x:v>
      </x:c>
      <x:c r="F338" s="13" t="str">
        <x:v>Insurance claim dispute na dapat idaan sa insurer/regulator</x:v>
      </x:c>
      <x:c r="G338" s="13" t="str">
        <x:v>April 6, 2026</x:v>
      </x:c>
      <x:c r="H338" s="13" t="str">
        <x:v>-</x:v>
      </x:c>
      <x:c r="I338" s="13" t="str">
        <x:v>Synthetic example: facts indicate matter is outside ordinary barangay conciliation or needs another forum.</x:v>
      </x:c>
      <x:c r="J338" s="13" t="str">
        <x:v>Review</x:v>
      </x:c>
      <x:c r="K338" s="13" t="str">
        <x:v>NON_KP_REVIEW</x:v>
      </x:c>
      <x:c r="L338" s="13" t="str">
        <x:v>Needs legal/KP eligibility review</x:v>
      </x:c>
      <x:c r="M338" s="13" t="str">
        <x:v>Flag as outside ordinary KP and route to proper agency or legal review</x:v>
      </x:c>
      <x:c r="N338" s="13" t="str">
        <x:v>Outside ordinary KP coverage or lacks required barangay jurisdiction facts.</x:v>
      </x:c>
      <x:c r="O338" s="13" t="str"/>
      <x:c r="P338" s="13" t="str">
        <x:v>Insurance claim dispute na dapat idaan sa insurer/regulator</x:v>
      </x:c>
      <x:c r="Q338" s="13" t="str">
        <x:v>Added to balance 'outside-KP' to 49 examples using the same Justice KP label schema.</x:v>
      </x:c>
      <x:c r="R338" s="13" t="str">
        <x:v>Synthetic row based on category coverage gap from uploaded PDF</x:v>
      </x:c>
    </x:row>
    <x:row r="339" ht="36" customHeight="1">
      <x:c r="A339" s="13" t="str">
        <x:v>SYN-OUT-031</x:v>
      </x:c>
      <x:c r="B339" s="13" t="str">
        <x:v>outside-KP</x:v>
      </x:c>
      <x:c r="C339" s="13" t="str">
        <x:v>Synthetic</x:v>
      </x:c>
      <x:c r="D339" s="13" t="str"/>
      <x:c r="E339" s="13" t="str">
        <x:v>Review</x:v>
      </x:c>
      <x:c r="F339" s="13" t="str">
        <x:v>Aksidenteng kinasasangkutan ng sasakyan na kailangan ng police report</x:v>
      </x:c>
      <x:c r="G339" s="13" t="str">
        <x:v>April 9, 2026</x:v>
      </x:c>
      <x:c r="H339" s="13" t="str">
        <x:v>-</x:v>
      </x:c>
      <x:c r="I339" s="13" t="str">
        <x:v>Synthetic example: facts indicate matter is outside ordinary barangay conciliation or needs another forum.</x:v>
      </x:c>
      <x:c r="J339" s="13" t="str">
        <x:v>Review</x:v>
      </x:c>
      <x:c r="K339" s="13" t="str">
        <x:v>NON_KP_REVIEW</x:v>
      </x:c>
      <x:c r="L339" s="13" t="str">
        <x:v>Needs legal/KP eligibility review</x:v>
      </x:c>
      <x:c r="M339" s="13" t="str">
        <x:v>Flag as outside ordinary KP and route to proper agency or legal review</x:v>
      </x:c>
      <x:c r="N339" s="13" t="str">
        <x:v>Outside ordinary KP coverage or lacks required barangay jurisdiction facts.</x:v>
      </x:c>
      <x:c r="O339" s="13" t="str"/>
      <x:c r="P339" s="13" t="str">
        <x:v>Aksidenteng kinasasangkutan ng sasakyan na kailangan ng police report</x:v>
      </x:c>
      <x:c r="Q339" s="13" t="str">
        <x:v>Added to balance 'outside-KP' to 49 examples using the same Justice KP label schema.</x:v>
      </x:c>
      <x:c r="R339" s="13" t="str">
        <x:v>Synthetic row based on category coverage gap from uploaded PDF</x:v>
      </x:c>
    </x:row>
    <x:row r="340" ht="36" customHeight="1">
      <x:c r="A340" s="13" t="str">
        <x:v>SYN-OUT-032</x:v>
      </x:c>
      <x:c r="B340" s="13" t="str">
        <x:v>outside-KP</x:v>
      </x:c>
      <x:c r="C340" s="13" t="str">
        <x:v>Synthetic</x:v>
      </x:c>
      <x:c r="D340" s="13" t="str"/>
      <x:c r="E340" s="13" t="str">
        <x:v>Review</x:v>
      </x:c>
      <x:c r="F340" s="13" t="str">
        <x:v>Usaping corporate contract na hindi personal na barangay dispute</x:v>
      </x:c>
      <x:c r="G340" s="13" t="str">
        <x:v>April 12, 2026</x:v>
      </x:c>
      <x:c r="H340" s="13" t="str">
        <x:v>-</x:v>
      </x:c>
      <x:c r="I340" s="13" t="str">
        <x:v>Synthetic example: facts indicate matter is outside ordinary barangay conciliation or needs another forum.</x:v>
      </x:c>
      <x:c r="J340" s="13" t="str">
        <x:v>Review</x:v>
      </x:c>
      <x:c r="K340" s="13" t="str">
        <x:v>NON_KP_REVIEW</x:v>
      </x:c>
      <x:c r="L340" s="13" t="str">
        <x:v>Needs legal/KP eligibility review</x:v>
      </x:c>
      <x:c r="M340" s="13" t="str">
        <x:v>Flag as outside ordinary KP and route to proper agency or legal review</x:v>
      </x:c>
      <x:c r="N340" s="13" t="str">
        <x:v>Outside ordinary KP coverage or lacks required barangay jurisdiction facts.</x:v>
      </x:c>
      <x:c r="O340" s="13" t="str"/>
      <x:c r="P340" s="13" t="str">
        <x:v>Usaping corporate contract na hindi personal na barangay dispute</x:v>
      </x:c>
      <x:c r="Q340" s="13" t="str">
        <x:v>Added to balance 'outside-KP' to 49 examples using the same Justice KP label schema.</x:v>
      </x:c>
      <x:c r="R340" s="13" t="str">
        <x:v>Synthetic row based on category coverage gap from uploaded PDF</x:v>
      </x:c>
    </x:row>
    <x:row r="341" ht="36" customHeight="1">
      <x:c r="A341" s="13" t="str">
        <x:v>SYN-OUT-033</x:v>
      </x:c>
      <x:c r="B341" s="13" t="str">
        <x:v>outside-KP</x:v>
      </x:c>
      <x:c r="C341" s="13" t="str">
        <x:v>Synthetic</x:v>
      </x:c>
      <x:c r="D341" s="13" t="str"/>
      <x:c r="E341" s="13" t="str">
        <x:v>Review</x:v>
      </x:c>
      <x:c r="F341" s="13" t="str">
        <x:v>Reklamo sa online scam na hindi kilala ang respondent</x:v>
      </x:c>
      <x:c r="G341" s="13" t="str">
        <x:v>April 15, 2026</x:v>
      </x:c>
      <x:c r="H341" s="13" t="str">
        <x:v>-</x:v>
      </x:c>
      <x:c r="I341" s="13" t="str">
        <x:v>Synthetic example: facts indicate matter is outside ordinary barangay conciliation or needs another forum.</x:v>
      </x:c>
      <x:c r="J341" s="13" t="str">
        <x:v>Review</x:v>
      </x:c>
      <x:c r="K341" s="13" t="str">
        <x:v>NON_KP_REVIEW</x:v>
      </x:c>
      <x:c r="L341" s="13" t="str">
        <x:v>Needs legal/KP eligibility review</x:v>
      </x:c>
      <x:c r="M341" s="13" t="str">
        <x:v>Flag as outside ordinary KP and route to proper agency or legal review</x:v>
      </x:c>
      <x:c r="N341" s="13" t="str">
        <x:v>Outside ordinary KP coverage or lacks required barangay jurisdiction facts.</x:v>
      </x:c>
      <x:c r="O341" s="13" t="str"/>
      <x:c r="P341" s="13" t="str">
        <x:v>Reklamo sa online scam na hindi kilala ang respondent</x:v>
      </x:c>
      <x:c r="Q341" s="13" t="str">
        <x:v>Added to balance 'outside-KP' to 49 examples using the same Justice KP label schema.</x:v>
      </x:c>
      <x:c r="R341" s="13" t="str">
        <x:v>Synthetic row based on category coverage gap from uploaded PDF</x:v>
      </x:c>
    </x:row>
    <x:row r="342" ht="36" customHeight="1">
      <x:c r="A342" s="13" t="str">
        <x:v>SYN-OUT-034</x:v>
      </x:c>
      <x:c r="B342" s="13" t="str">
        <x:v>outside-KP</x:v>
      </x:c>
      <x:c r="C342" s="13" t="str">
        <x:v>Synthetic</x:v>
      </x:c>
      <x:c r="D342" s="13" t="str"/>
      <x:c r="E342" s="13" t="str">
        <x:v>Review</x:v>
      </x:c>
      <x:c r="F342" s="13" t="str">
        <x:v>Away na ang respondent ay residente ng ibang lungsod at hindi sakop</x:v>
      </x:c>
      <x:c r="G342" s="13" t="str">
        <x:v>April 18, 2026</x:v>
      </x:c>
      <x:c r="H342" s="13" t="str">
        <x:v>-</x:v>
      </x:c>
      <x:c r="I342" s="13" t="str">
        <x:v>Synthetic example: facts indicate matter is outside ordinary barangay conciliation or needs another forum.</x:v>
      </x:c>
      <x:c r="J342" s="13" t="str">
        <x:v>Review</x:v>
      </x:c>
      <x:c r="K342" s="13" t="str">
        <x:v>NON_KP_REVIEW</x:v>
      </x:c>
      <x:c r="L342" s="13" t="str">
        <x:v>Needs legal/KP eligibility review</x:v>
      </x:c>
      <x:c r="M342" s="13" t="str">
        <x:v>Flag as outside ordinary KP and route to proper agency or legal review</x:v>
      </x:c>
      <x:c r="N342" s="13" t="str">
        <x:v>Outside ordinary KP coverage or lacks required barangay jurisdiction facts.</x:v>
      </x:c>
      <x:c r="O342" s="13" t="str"/>
      <x:c r="P342" s="13" t="str">
        <x:v>Away na ang respondent ay residente ng ibang lungsod at hindi sakop</x:v>
      </x:c>
      <x:c r="Q342" s="13" t="str">
        <x:v>Added to balance 'outside-KP' to 49 examples using the same Justice KP label schema.</x:v>
      </x:c>
      <x:c r="R342" s="13" t="str">
        <x:v>Synthetic row based on category coverage gap from uploaded PDF</x:v>
      </x:c>
    </x:row>
    <x:row r="343" ht="36" customHeight="1">
      <x:c r="A343" s="13" t="str">
        <x:v>SYN-OUT-035</x:v>
      </x:c>
      <x:c r="B343" s="13" t="str">
        <x:v>outside-KP</x:v>
      </x:c>
      <x:c r="C343" s="13" t="str">
        <x:v>Synthetic</x:v>
      </x:c>
      <x:c r="D343" s="13" t="str"/>
      <x:c r="E343" s="13" t="str">
        <x:v>Review</x:v>
      </x:c>
      <x:c r="F343" s="13" t="str">
        <x:v>Cyber-related complaint na nangangailangan ng specialized investigation</x:v>
      </x:c>
      <x:c r="G343" s="13" t="str">
        <x:v>April 21, 2026</x:v>
      </x:c>
      <x:c r="H343" s="13" t="str">
        <x:v>-</x:v>
      </x:c>
      <x:c r="I343" s="13" t="str">
        <x:v>Synthetic example: facts indicate matter is outside ordinary barangay conciliation or needs another forum.</x:v>
      </x:c>
      <x:c r="J343" s="13" t="str">
        <x:v>Review</x:v>
      </x:c>
      <x:c r="K343" s="13" t="str">
        <x:v>NON_KP_REVIEW</x:v>
      </x:c>
      <x:c r="L343" s="13" t="str">
        <x:v>Needs legal/KP eligibility review</x:v>
      </x:c>
      <x:c r="M343" s="13" t="str">
        <x:v>Flag as outside ordinary KP and route to proper agency or legal review</x:v>
      </x:c>
      <x:c r="N343" s="13" t="str">
        <x:v>Outside ordinary KP coverage or lacks required barangay jurisdiction facts.</x:v>
      </x:c>
      <x:c r="O343" s="13" t="str"/>
      <x:c r="P343" s="13" t="str">
        <x:v>Cyber-related complaint na nangangailangan ng specialized investigation</x:v>
      </x:c>
      <x:c r="Q343" s="13" t="str">
        <x:v>Added to balance 'outside-KP' to 49 examples using the same Justice KP label schema.</x:v>
      </x:c>
      <x:c r="R343" s="13" t="str">
        <x:v>Synthetic row based on category coverage gap from uploaded PDF</x:v>
      </x:c>
    </x:row>
    <x:row r="344" ht="36" customHeight="1">
      <x:c r="A344" s="13" t="str">
        <x:v>SYN-OUT-036</x:v>
      </x:c>
      <x:c r="B344" s="13" t="str">
        <x:v>outside-KP</x:v>
      </x:c>
      <x:c r="C344" s="13" t="str">
        <x:v>Synthetic</x:v>
      </x:c>
      <x:c r="D344" s="13" t="str"/>
      <x:c r="E344" s="13" t="str">
        <x:v>Review</x:v>
      </x:c>
      <x:c r="F344" s="13" t="str">
        <x:v>Dispute sa lupa na may titulo at kailangan ng korte/registrar</x:v>
      </x:c>
      <x:c r="G344" s="13" t="str">
        <x:v>April 24, 2026</x:v>
      </x:c>
      <x:c r="H344" s="13" t="str">
        <x:v>-</x:v>
      </x:c>
      <x:c r="I344" s="13" t="str">
        <x:v>Synthetic example: facts indicate matter is outside ordinary barangay conciliation or needs another forum.</x:v>
      </x:c>
      <x:c r="J344" s="13" t="str">
        <x:v>Review</x:v>
      </x:c>
      <x:c r="K344" s="13" t="str">
        <x:v>NON_KP_REVIEW</x:v>
      </x:c>
      <x:c r="L344" s="13" t="str">
        <x:v>Needs legal/KP eligibility review</x:v>
      </x:c>
      <x:c r="M344" s="13" t="str">
        <x:v>Flag as outside ordinary KP and route to proper agency or legal review</x:v>
      </x:c>
      <x:c r="N344" s="13" t="str">
        <x:v>Outside ordinary KP coverage or lacks required barangay jurisdiction facts.</x:v>
      </x:c>
      <x:c r="O344" s="13" t="str"/>
      <x:c r="P344" s="13" t="str">
        <x:v>Dispute sa lupa na may titulo at kailangan ng korte/registrar</x:v>
      </x:c>
      <x:c r="Q344" s="13" t="str">
        <x:v>Added to balance 'outside-KP' to 49 examples using the same Justice KP label schema.</x:v>
      </x:c>
      <x:c r="R344" s="13" t="str">
        <x:v>Synthetic row based on category coverage gap from uploaded PDF</x:v>
      </x:c>
    </x:row>
    <x:row r="345" ht="36" customHeight="1">
      <x:c r="A345" s="13" t="str">
        <x:v>SYN-GOV-001</x:v>
      </x:c>
      <x:c r="B345" s="13" t="str">
        <x:v>government-party</x:v>
      </x:c>
      <x:c r="C345" s="13" t="str">
        <x:v>Synthetic</x:v>
      </x:c>
      <x:c r="D345" s="13" t="str"/>
      <x:c r="E345" s="13" t="str">
        <x:v>Disqualified</x:v>
      </x:c>
      <x:c r="F345" s="13" t="str">
        <x:v>Reklamo laban sa city engineering office tungkol sa proyekto</x:v>
      </x:c>
      <x:c r="G345" s="13" t="str">
        <x:v>January 10, 2026</x:v>
      </x:c>
      <x:c r="H345" s="13" t="str">
        <x:v>-</x:v>
      </x:c>
      <x:c r="I345" s="13" t="str">
        <x:v>Synthetic example: one party is a government office/official acting in official capacity; mark non-KP.</x:v>
      </x:c>
      <x:c r="J345" s="13" t="str">
        <x:v>Refer</x:v>
      </x:c>
      <x:c r="K345" s="13" t="str">
        <x:v>NON_KP_REFERRAL</x:v>
      </x:c>
      <x:c r="L345" s="13" t="str">
        <x:v>Not KP; government party disqualification</x:v>
      </x:c>
      <x:c r="M345" s="13" t="str">
        <x:v>Refer/route to proper government grievance, administrative, or legal office</x:v>
      </x:c>
      <x:c r="N345" s="13" t="str">
        <x:v>KP does not apply when a government office/entity is a party.</x:v>
      </x:c>
      <x:c r="O345" s="13" t="str"/>
      <x:c r="P345" s="13" t="str">
        <x:v>Reklamo laban sa city engineering office tungkol sa proyekto</x:v>
      </x:c>
      <x:c r="Q345" s="13" t="str">
        <x:v>Added to balance 'government-party' to 49 examples using the same Justice KP label schema.</x:v>
      </x:c>
      <x:c r="R345" s="13" t="str">
        <x:v>Synthetic row based on category coverage gap from uploaded PDF</x:v>
      </x:c>
    </x:row>
    <x:row r="346" ht="36" customHeight="1">
      <x:c r="A346" s="13" t="str">
        <x:v>SYN-GOV-002</x:v>
      </x:c>
      <x:c r="B346" s="13" t="str">
        <x:v>government-party</x:v>
      </x:c>
      <x:c r="C346" s="13" t="str">
        <x:v>Synthetic</x:v>
      </x:c>
      <x:c r="D346" s="13" t="str"/>
      <x:c r="E346" s="13" t="str">
        <x:v>Disqualified</x:v>
      </x:c>
      <x:c r="F346" s="13" t="str">
        <x:v>Usapin kung saan ang respondent ay municipal government unit</x:v>
      </x:c>
      <x:c r="G346" s="13" t="str">
        <x:v>January 13, 2026</x:v>
      </x:c>
      <x:c r="H346" s="13" t="str">
        <x:v>-</x:v>
      </x:c>
      <x:c r="I346" s="13" t="str">
        <x:v>Synthetic example: one party is a government office/official acting in official capacity; mark non-KP.</x:v>
      </x:c>
      <x:c r="J346" s="13" t="str">
        <x:v>Refer</x:v>
      </x:c>
      <x:c r="K346" s="13" t="str">
        <x:v>NON_KP_REFERRAL</x:v>
      </x:c>
      <x:c r="L346" s="13" t="str">
        <x:v>Not KP; government party disqualification</x:v>
      </x:c>
      <x:c r="M346" s="13" t="str">
        <x:v>Refer/route to proper government grievance, administrative, or legal office</x:v>
      </x:c>
      <x:c r="N346" s="13" t="str">
        <x:v>KP does not apply when a government office/entity is a party.</x:v>
      </x:c>
      <x:c r="O346" s="13" t="str"/>
      <x:c r="P346" s="13" t="str">
        <x:v>Usapin kung saan ang respondent ay municipal government unit</x:v>
      </x:c>
      <x:c r="Q346" s="13" t="str">
        <x:v>Added to balance 'government-party' to 49 examples using the same Justice KP label schema.</x:v>
      </x:c>
      <x:c r="R346" s="13" t="str">
        <x:v>Synthetic row based on category coverage gap from uploaded PDF</x:v>
      </x:c>
    </x:row>
    <x:row r="347" ht="36" customHeight="1">
      <x:c r="A347" s="13" t="str">
        <x:v>SYN-GOV-003</x:v>
      </x:c>
      <x:c r="B347" s="13" t="str">
        <x:v>government-party</x:v>
      </x:c>
      <x:c r="C347" s="13" t="str">
        <x:v>Synthetic</x:v>
      </x:c>
      <x:c r="D347" s="13" t="str"/>
      <x:c r="E347" s="13" t="str">
        <x:v>Disqualified</x:v>
      </x:c>
      <x:c r="F347" s="13" t="str">
        <x:v>Reklamo laban sa barangay official kaugnay ng official duty</x:v>
      </x:c>
      <x:c r="G347" s="13" t="str">
        <x:v>January 16, 2026</x:v>
      </x:c>
      <x:c r="H347" s="13" t="str">
        <x:v>-</x:v>
      </x:c>
      <x:c r="I347" s="13" t="str">
        <x:v>Synthetic example: one party is a government office/official acting in official capacity; mark non-KP.</x:v>
      </x:c>
      <x:c r="J347" s="13" t="str">
        <x:v>Refer</x:v>
      </x:c>
      <x:c r="K347" s="13" t="str">
        <x:v>NON_KP_REFERRAL</x:v>
      </x:c>
      <x:c r="L347" s="13" t="str">
        <x:v>Not KP; government party disqualification</x:v>
      </x:c>
      <x:c r="M347" s="13" t="str">
        <x:v>Refer/route to proper government grievance, administrative, or legal office</x:v>
      </x:c>
      <x:c r="N347" s="13" t="str">
        <x:v>KP does not apply when a government office/entity is a party.</x:v>
      </x:c>
      <x:c r="O347" s="13" t="str"/>
      <x:c r="P347" s="13" t="str">
        <x:v>Reklamo laban sa barangay official kaugnay ng official duty</x:v>
      </x:c>
      <x:c r="Q347" s="13" t="str">
        <x:v>Added to balance 'government-party' to 49 examples using the same Justice KP label schema.</x:v>
      </x:c>
      <x:c r="R347" s="13" t="str">
        <x:v>Synthetic row based on category coverage gap from uploaded PDF</x:v>
      </x:c>
    </x:row>
    <x:row r="348" ht="36" customHeight="1">
      <x:c r="A348" s="13" t="str">
        <x:v>SYN-GOV-004</x:v>
      </x:c>
      <x:c r="B348" s="13" t="str">
        <x:v>government-party</x:v>
      </x:c>
      <x:c r="C348" s="13" t="str">
        <x:v>Synthetic</x:v>
      </x:c>
      <x:c r="D348" s="13" t="str"/>
      <x:c r="E348" s="13" t="str">
        <x:v>Disqualified</x:v>
      </x:c>
      <x:c r="F348" s="13" t="str">
        <x:v>Dispute laban sa public school office bilang party</x:v>
      </x:c>
      <x:c r="G348" s="13" t="str">
        <x:v>January 19, 2026</x:v>
      </x:c>
      <x:c r="H348" s="13" t="str">
        <x:v>-</x:v>
      </x:c>
      <x:c r="I348" s="13" t="str">
        <x:v>Synthetic example: one party is a government office/official acting in official capacity; mark non-KP.</x:v>
      </x:c>
      <x:c r="J348" s="13" t="str">
        <x:v>Refer</x:v>
      </x:c>
      <x:c r="K348" s="13" t="str">
        <x:v>NON_KP_REFERRAL</x:v>
      </x:c>
      <x:c r="L348" s="13" t="str">
        <x:v>Not KP; government party disqualification</x:v>
      </x:c>
      <x:c r="M348" s="13" t="str">
        <x:v>Refer/route to proper government grievance, administrative, or legal office</x:v>
      </x:c>
      <x:c r="N348" s="13" t="str">
        <x:v>KP does not apply when a government office/entity is a party.</x:v>
      </x:c>
      <x:c r="O348" s="13" t="str"/>
      <x:c r="P348" s="13" t="str">
        <x:v>Dispute laban sa public school office bilang party</x:v>
      </x:c>
      <x:c r="Q348" s="13" t="str">
        <x:v>Added to balance 'government-party' to 49 examples using the same Justice KP label schema.</x:v>
      </x:c>
      <x:c r="R348" s="13" t="str">
        <x:v>Synthetic row based on category coverage gap from uploaded PDF</x:v>
      </x:c>
    </x:row>
    <x:row r="349" ht="36" customHeight="1">
      <x:c r="A349" s="13" t="str">
        <x:v>SYN-GOV-005</x:v>
      </x:c>
      <x:c r="B349" s="13" t="str">
        <x:v>government-party</x:v>
      </x:c>
      <x:c r="C349" s="13" t="str">
        <x:v>Synthetic</x:v>
      </x:c>
      <x:c r="D349" s="13" t="str"/>
      <x:c r="E349" s="13" t="str">
        <x:v>Disqualified</x:v>
      </x:c>
      <x:c r="F349" s="13" t="str">
        <x:v>Reklamo sa water district na government-controlled utility</x:v>
      </x:c>
      <x:c r="G349" s="13" t="str">
        <x:v>January 22, 2026</x:v>
      </x:c>
      <x:c r="H349" s="13" t="str">
        <x:v>-</x:v>
      </x:c>
      <x:c r="I349" s="13" t="str">
        <x:v>Synthetic example: one party is a government office/official acting in official capacity; mark non-KP.</x:v>
      </x:c>
      <x:c r="J349" s="13" t="str">
        <x:v>Refer</x:v>
      </x:c>
      <x:c r="K349" s="13" t="str">
        <x:v>NON_KP_REFERRAL</x:v>
      </x:c>
      <x:c r="L349" s="13" t="str">
        <x:v>Not KP; government party disqualification</x:v>
      </x:c>
      <x:c r="M349" s="13" t="str">
        <x:v>Refer/route to proper government grievance, administrative, or legal office</x:v>
      </x:c>
      <x:c r="N349" s="13" t="str">
        <x:v>KP does not apply when a government office/entity is a party.</x:v>
      </x:c>
      <x:c r="O349" s="13" t="str"/>
      <x:c r="P349" s="13" t="str">
        <x:v>Reklamo sa water district na government-controlled utility</x:v>
      </x:c>
      <x:c r="Q349" s="13" t="str">
        <x:v>Added to balance 'government-party' to 49 examples using the same Justice KP label schema.</x:v>
      </x:c>
      <x:c r="R349" s="13" t="str">
        <x:v>Synthetic row based on category coverage gap from uploaded PDF</x:v>
      </x:c>
    </x:row>
    <x:row r="350" ht="36" customHeight="1">
      <x:c r="A350" s="13" t="str">
        <x:v>SYN-GOV-006</x:v>
      </x:c>
      <x:c r="B350" s="13" t="str">
        <x:v>government-party</x:v>
      </x:c>
      <x:c r="C350" s="13" t="str">
        <x:v>Synthetic</x:v>
      </x:c>
      <x:c r="D350" s="13" t="str"/>
      <x:c r="E350" s="13" t="str">
        <x:v>Disqualified</x:v>
      </x:c>
      <x:c r="F350" s="13" t="str">
        <x:v>Reklamo laban sa police officer kaugnay ng opisyal na tungkulin</x:v>
      </x:c>
      <x:c r="G350" s="13" t="str">
        <x:v>January 25, 2026</x:v>
      </x:c>
      <x:c r="H350" s="13" t="str">
        <x:v>-</x:v>
      </x:c>
      <x:c r="I350" s="13" t="str">
        <x:v>Synthetic example: one party is a government office/official acting in official capacity; mark non-KP.</x:v>
      </x:c>
      <x:c r="J350" s="13" t="str">
        <x:v>Refer</x:v>
      </x:c>
      <x:c r="K350" s="13" t="str">
        <x:v>NON_KP_REFERRAL</x:v>
      </x:c>
      <x:c r="L350" s="13" t="str">
        <x:v>Not KP; government party disqualification</x:v>
      </x:c>
      <x:c r="M350" s="13" t="str">
        <x:v>Refer/route to proper government grievance, administrative, or legal office</x:v>
      </x:c>
      <x:c r="N350" s="13" t="str">
        <x:v>KP does not apply when a government office/entity is a party.</x:v>
      </x:c>
      <x:c r="O350" s="13" t="str"/>
      <x:c r="P350" s="13" t="str">
        <x:v>Reklamo laban sa police officer kaugnay ng opisyal na tungkulin</x:v>
      </x:c>
      <x:c r="Q350" s="13" t="str">
        <x:v>Added to balance 'government-party' to 49 examples using the same Justice KP label schema.</x:v>
      </x:c>
      <x:c r="R350" s="13" t="str">
        <x:v>Synthetic row based on category coverage gap from uploaded PDF</x:v>
      </x:c>
    </x:row>
    <x:row r="351" ht="36" customHeight="1">
      <x:c r="A351" s="13" t="str">
        <x:v>SYN-GOV-007</x:v>
      </x:c>
      <x:c r="B351" s="13" t="str">
        <x:v>government-party</x:v>
      </x:c>
      <x:c r="C351" s="13" t="str">
        <x:v>Synthetic</x:v>
      </x:c>
      <x:c r="D351" s="13" t="str"/>
      <x:c r="E351" s="13" t="str">
        <x:v>Disqualified</x:v>
      </x:c>
      <x:c r="F351" s="13" t="str">
        <x:v>Usapin sa provincial office bilang respondent</x:v>
      </x:c>
      <x:c r="G351" s="13" t="str">
        <x:v>January 28, 2026</x:v>
      </x:c>
      <x:c r="H351" s="13" t="str">
        <x:v>-</x:v>
      </x:c>
      <x:c r="I351" s="13" t="str">
        <x:v>Synthetic example: one party is a government office/official acting in official capacity; mark non-KP.</x:v>
      </x:c>
      <x:c r="J351" s="13" t="str">
        <x:v>Refer</x:v>
      </x:c>
      <x:c r="K351" s="13" t="str">
        <x:v>NON_KP_REFERRAL</x:v>
      </x:c>
      <x:c r="L351" s="13" t="str">
        <x:v>Not KP; government party disqualification</x:v>
      </x:c>
      <x:c r="M351" s="13" t="str">
        <x:v>Refer/route to proper government grievance, administrative, or legal office</x:v>
      </x:c>
      <x:c r="N351" s="13" t="str">
        <x:v>KP does not apply when a government office/entity is a party.</x:v>
      </x:c>
      <x:c r="O351" s="13" t="str"/>
      <x:c r="P351" s="13" t="str">
        <x:v>Usapin sa provincial office bilang respondent</x:v>
      </x:c>
      <x:c r="Q351" s="13" t="str">
        <x:v>Added to balance 'government-party' to 49 examples using the same Justice KP label schema.</x:v>
      </x:c>
      <x:c r="R351" s="13" t="str">
        <x:v>Synthetic row based on category coverage gap from uploaded PDF</x:v>
      </x:c>
    </x:row>
    <x:row r="352" ht="36" customHeight="1">
      <x:c r="A352" s="13" t="str">
        <x:v>SYN-GOV-008</x:v>
      </x:c>
      <x:c r="B352" s="13" t="str">
        <x:v>government-party</x:v>
      </x:c>
      <x:c r="C352" s="13" t="str">
        <x:v>Synthetic</x:v>
      </x:c>
      <x:c r="D352" s="13" t="str"/>
      <x:c r="E352" s="13" t="str">
        <x:v>Disqualified</x:v>
      </x:c>
      <x:c r="F352" s="13" t="str">
        <x:v>Reklamo laban sa government hospital billing office</x:v>
      </x:c>
      <x:c r="G352" s="13" t="str">
        <x:v>January 31, 2026</x:v>
      </x:c>
      <x:c r="H352" s="13" t="str">
        <x:v>-</x:v>
      </x:c>
      <x:c r="I352" s="13" t="str">
        <x:v>Synthetic example: one party is a government office/official acting in official capacity; mark non-KP.</x:v>
      </x:c>
      <x:c r="J352" s="13" t="str">
        <x:v>Refer</x:v>
      </x:c>
      <x:c r="K352" s="13" t="str">
        <x:v>NON_KP_REFERRAL</x:v>
      </x:c>
      <x:c r="L352" s="13" t="str">
        <x:v>Not KP; government party disqualification</x:v>
      </x:c>
      <x:c r="M352" s="13" t="str">
        <x:v>Refer/route to proper government grievance, administrative, or legal office</x:v>
      </x:c>
      <x:c r="N352" s="13" t="str">
        <x:v>KP does not apply when a government office/entity is a party.</x:v>
      </x:c>
      <x:c r="O352" s="13" t="str"/>
      <x:c r="P352" s="13" t="str">
        <x:v>Reklamo laban sa government hospital billing office</x:v>
      </x:c>
      <x:c r="Q352" s="13" t="str">
        <x:v>Added to balance 'government-party' to 49 examples using the same Justice KP label schema.</x:v>
      </x:c>
      <x:c r="R352" s="13" t="str">
        <x:v>Synthetic row based on category coverage gap from uploaded PDF</x:v>
      </x:c>
    </x:row>
    <x:row r="353" ht="36" customHeight="1">
      <x:c r="A353" s="13" t="str">
        <x:v>SYN-GOV-009</x:v>
      </x:c>
      <x:c r="B353" s="13" t="str">
        <x:v>government-party</x:v>
      </x:c>
      <x:c r="C353" s="13" t="str">
        <x:v>Synthetic</x:v>
      </x:c>
      <x:c r="D353" s="13" t="str"/>
      <x:c r="E353" s="13" t="str">
        <x:v>Disqualified</x:v>
      </x:c>
      <x:c r="F353" s="13" t="str">
        <x:v>Dispute sa road-clearing action ng municipal office</x:v>
      </x:c>
      <x:c r="G353" s="13" t="str">
        <x:v>February 3, 2026</x:v>
      </x:c>
      <x:c r="H353" s="13" t="str">
        <x:v>-</x:v>
      </x:c>
      <x:c r="I353" s="13" t="str">
        <x:v>Synthetic example: one party is a government office/official acting in official capacity; mark non-KP.</x:v>
      </x:c>
      <x:c r="J353" s="13" t="str">
        <x:v>Refer</x:v>
      </x:c>
      <x:c r="K353" s="13" t="str">
        <x:v>NON_KP_REFERRAL</x:v>
      </x:c>
      <x:c r="L353" s="13" t="str">
        <x:v>Not KP; government party disqualification</x:v>
      </x:c>
      <x:c r="M353" s="13" t="str">
        <x:v>Refer/route to proper government grievance, administrative, or legal office</x:v>
      </x:c>
      <x:c r="N353" s="13" t="str">
        <x:v>KP does not apply when a government office/entity is a party.</x:v>
      </x:c>
      <x:c r="O353" s="13" t="str"/>
      <x:c r="P353" s="13" t="str">
        <x:v>Dispute sa road-clearing action ng municipal office</x:v>
      </x:c>
      <x:c r="Q353" s="13" t="str">
        <x:v>Added to balance 'government-party' to 49 examples using the same Justice KP label schema.</x:v>
      </x:c>
      <x:c r="R353" s="13" t="str">
        <x:v>Synthetic row based on category coverage gap from uploaded PDF</x:v>
      </x:c>
    </x:row>
    <x:row r="354" ht="36" customHeight="1">
      <x:c r="A354" s="13" t="str">
        <x:v>SYN-GOV-010</x:v>
      </x:c>
      <x:c r="B354" s="13" t="str">
        <x:v>government-party</x:v>
      </x:c>
      <x:c r="C354" s="13" t="str">
        <x:v>Synthetic</x:v>
      </x:c>
      <x:c r="D354" s="13" t="str"/>
      <x:c r="E354" s="13" t="str">
        <x:v>Disqualified</x:v>
      </x:c>
      <x:c r="F354" s="13" t="str">
        <x:v>Reklamo laban sa public market administration office</x:v>
      </x:c>
      <x:c r="G354" s="13" t="str">
        <x:v>February 6, 2026</x:v>
      </x:c>
      <x:c r="H354" s="13" t="str">
        <x:v>-</x:v>
      </x:c>
      <x:c r="I354" s="13" t="str">
        <x:v>Synthetic example: one party is a government office/official acting in official capacity; mark non-KP.</x:v>
      </x:c>
      <x:c r="J354" s="13" t="str">
        <x:v>Refer</x:v>
      </x:c>
      <x:c r="K354" s="13" t="str">
        <x:v>NON_KP_REFERRAL</x:v>
      </x:c>
      <x:c r="L354" s="13" t="str">
        <x:v>Not KP; government party disqualification</x:v>
      </x:c>
      <x:c r="M354" s="13" t="str">
        <x:v>Refer/route to proper government grievance, administrative, or legal office</x:v>
      </x:c>
      <x:c r="N354" s="13" t="str">
        <x:v>KP does not apply when a government office/entity is a party.</x:v>
      </x:c>
      <x:c r="O354" s="13" t="str"/>
      <x:c r="P354" s="13" t="str">
        <x:v>Reklamo laban sa public market administration office</x:v>
      </x:c>
      <x:c r="Q354" s="13" t="str">
        <x:v>Added to balance 'government-party' to 49 examples using the same Justice KP label schema.</x:v>
      </x:c>
      <x:c r="R354" s="13" t="str">
        <x:v>Synthetic row based on category coverage gap from uploaded PDF</x:v>
      </x:c>
    </x:row>
    <x:row r="355" ht="36" customHeight="1">
      <x:c r="A355" s="13" t="str">
        <x:v>SYN-GOV-011</x:v>
      </x:c>
      <x:c r="B355" s="13" t="str">
        <x:v>government-party</x:v>
      </x:c>
      <x:c r="C355" s="13" t="str">
        <x:v>Synthetic</x:v>
      </x:c>
      <x:c r="D355" s="13" t="str"/>
      <x:c r="E355" s="13" t="str">
        <x:v>Disqualified</x:v>
      </x:c>
      <x:c r="F355" s="13" t="str">
        <x:v>Reklamo laban sa city engineering office tungkol sa proyekto</x:v>
      </x:c>
      <x:c r="G355" s="13" t="str">
        <x:v>February 9, 2026</x:v>
      </x:c>
      <x:c r="H355" s="13" t="str">
        <x:v>-</x:v>
      </x:c>
      <x:c r="I355" s="13" t="str">
        <x:v>Synthetic example: one party is a government office/official acting in official capacity; mark non-KP.</x:v>
      </x:c>
      <x:c r="J355" s="13" t="str">
        <x:v>Refer</x:v>
      </x:c>
      <x:c r="K355" s="13" t="str">
        <x:v>NON_KP_REFERRAL</x:v>
      </x:c>
      <x:c r="L355" s="13" t="str">
        <x:v>Not KP; government party disqualification</x:v>
      </x:c>
      <x:c r="M355" s="13" t="str">
        <x:v>Refer/route to proper government grievance, administrative, or legal office</x:v>
      </x:c>
      <x:c r="N355" s="13" t="str">
        <x:v>KP does not apply when a government office/entity is a party.</x:v>
      </x:c>
      <x:c r="O355" s="13" t="str"/>
      <x:c r="P355" s="13" t="str">
        <x:v>Reklamo laban sa city engineering office tungkol sa proyekto</x:v>
      </x:c>
      <x:c r="Q355" s="13" t="str">
        <x:v>Added to balance 'government-party' to 49 examples using the same Justice KP label schema.</x:v>
      </x:c>
      <x:c r="R355" s="13" t="str">
        <x:v>Synthetic row based on category coverage gap from uploaded PDF</x:v>
      </x:c>
    </x:row>
    <x:row r="356" ht="36" customHeight="1">
      <x:c r="A356" s="13" t="str">
        <x:v>SYN-GOV-012</x:v>
      </x:c>
      <x:c r="B356" s="13" t="str">
        <x:v>government-party</x:v>
      </x:c>
      <x:c r="C356" s="13" t="str">
        <x:v>Synthetic</x:v>
      </x:c>
      <x:c r="D356" s="13" t="str"/>
      <x:c r="E356" s="13" t="str">
        <x:v>Disqualified</x:v>
      </x:c>
      <x:c r="F356" s="13" t="str">
        <x:v>Usapin kung saan ang respondent ay municipal government unit</x:v>
      </x:c>
      <x:c r="G356" s="13" t="str">
        <x:v>February 12, 2026</x:v>
      </x:c>
      <x:c r="H356" s="13" t="str">
        <x:v>-</x:v>
      </x:c>
      <x:c r="I356" s="13" t="str">
        <x:v>Synthetic example: one party is a government office/official acting in official capacity; mark non-KP.</x:v>
      </x:c>
      <x:c r="J356" s="13" t="str">
        <x:v>Refer</x:v>
      </x:c>
      <x:c r="K356" s="13" t="str">
        <x:v>NON_KP_REFERRAL</x:v>
      </x:c>
      <x:c r="L356" s="13" t="str">
        <x:v>Not KP; government party disqualification</x:v>
      </x:c>
      <x:c r="M356" s="13" t="str">
        <x:v>Refer/route to proper government grievance, administrative, or legal office</x:v>
      </x:c>
      <x:c r="N356" s="13" t="str">
        <x:v>KP does not apply when a government office/entity is a party.</x:v>
      </x:c>
      <x:c r="O356" s="13" t="str"/>
      <x:c r="P356" s="13" t="str">
        <x:v>Usapin kung saan ang respondent ay municipal government unit</x:v>
      </x:c>
      <x:c r="Q356" s="13" t="str">
        <x:v>Added to balance 'government-party' to 49 examples using the same Justice KP label schema.</x:v>
      </x:c>
      <x:c r="R356" s="13" t="str">
        <x:v>Synthetic row based on category coverage gap from uploaded PDF</x:v>
      </x:c>
    </x:row>
    <x:row r="357" ht="36" customHeight="1">
      <x:c r="A357" s="13" t="str">
        <x:v>SYN-GOV-013</x:v>
      </x:c>
      <x:c r="B357" s="13" t="str">
        <x:v>government-party</x:v>
      </x:c>
      <x:c r="C357" s="13" t="str">
        <x:v>Synthetic</x:v>
      </x:c>
      <x:c r="D357" s="13" t="str"/>
      <x:c r="E357" s="13" t="str">
        <x:v>Disqualified</x:v>
      </x:c>
      <x:c r="F357" s="13" t="str">
        <x:v>Reklamo laban sa barangay official kaugnay ng official duty</x:v>
      </x:c>
      <x:c r="G357" s="13" t="str">
        <x:v>February 15, 2026</x:v>
      </x:c>
      <x:c r="H357" s="13" t="str">
        <x:v>-</x:v>
      </x:c>
      <x:c r="I357" s="13" t="str">
        <x:v>Synthetic example: one party is a government office/official acting in official capacity; mark non-KP.</x:v>
      </x:c>
      <x:c r="J357" s="13" t="str">
        <x:v>Refer</x:v>
      </x:c>
      <x:c r="K357" s="13" t="str">
        <x:v>NON_KP_REFERRAL</x:v>
      </x:c>
      <x:c r="L357" s="13" t="str">
        <x:v>Not KP; government party disqualification</x:v>
      </x:c>
      <x:c r="M357" s="13" t="str">
        <x:v>Refer/route to proper government grievance, administrative, or legal office</x:v>
      </x:c>
      <x:c r="N357" s="13" t="str">
        <x:v>KP does not apply when a government office/entity is a party.</x:v>
      </x:c>
      <x:c r="O357" s="13" t="str"/>
      <x:c r="P357" s="13" t="str">
        <x:v>Reklamo laban sa barangay official kaugnay ng official duty</x:v>
      </x:c>
      <x:c r="Q357" s="13" t="str">
        <x:v>Added to balance 'government-party' to 49 examples using the same Justice KP label schema.</x:v>
      </x:c>
      <x:c r="R357" s="13" t="str">
        <x:v>Synthetic row based on category coverage gap from uploaded PDF</x:v>
      </x:c>
    </x:row>
    <x:row r="358" ht="36" customHeight="1">
      <x:c r="A358" s="13" t="str">
        <x:v>SYN-GOV-014</x:v>
      </x:c>
      <x:c r="B358" s="13" t="str">
        <x:v>government-party</x:v>
      </x:c>
      <x:c r="C358" s="13" t="str">
        <x:v>Synthetic</x:v>
      </x:c>
      <x:c r="D358" s="13" t="str"/>
      <x:c r="E358" s="13" t="str">
        <x:v>Disqualified</x:v>
      </x:c>
      <x:c r="F358" s="13" t="str">
        <x:v>Dispute laban sa public school office bilang party</x:v>
      </x:c>
      <x:c r="G358" s="13" t="str">
        <x:v>February 18, 2026</x:v>
      </x:c>
      <x:c r="H358" s="13" t="str">
        <x:v>-</x:v>
      </x:c>
      <x:c r="I358" s="13" t="str">
        <x:v>Synthetic example: one party is a government office/official acting in official capacity; mark non-KP.</x:v>
      </x:c>
      <x:c r="J358" s="13" t="str">
        <x:v>Refer</x:v>
      </x:c>
      <x:c r="K358" s="13" t="str">
        <x:v>NON_KP_REFERRAL</x:v>
      </x:c>
      <x:c r="L358" s="13" t="str">
        <x:v>Not KP; government party disqualification</x:v>
      </x:c>
      <x:c r="M358" s="13" t="str">
        <x:v>Refer/route to proper government grievance, administrative, or legal office</x:v>
      </x:c>
      <x:c r="N358" s="13" t="str">
        <x:v>KP does not apply when a government office/entity is a party.</x:v>
      </x:c>
      <x:c r="O358" s="13" t="str"/>
      <x:c r="P358" s="13" t="str">
        <x:v>Dispute laban sa public school office bilang party</x:v>
      </x:c>
      <x:c r="Q358" s="13" t="str">
        <x:v>Added to balance 'government-party' to 49 examples using the same Justice KP label schema.</x:v>
      </x:c>
      <x:c r="R358" s="13" t="str">
        <x:v>Synthetic row based on category coverage gap from uploaded PDF</x:v>
      </x:c>
    </x:row>
    <x:row r="359" ht="36" customHeight="1">
      <x:c r="A359" s="13" t="str">
        <x:v>SYN-GOV-015</x:v>
      </x:c>
      <x:c r="B359" s="13" t="str">
        <x:v>government-party</x:v>
      </x:c>
      <x:c r="C359" s="13" t="str">
        <x:v>Synthetic</x:v>
      </x:c>
      <x:c r="D359" s="13" t="str"/>
      <x:c r="E359" s="13" t="str">
        <x:v>Disqualified</x:v>
      </x:c>
      <x:c r="F359" s="13" t="str">
        <x:v>Reklamo sa water district na government-controlled utility</x:v>
      </x:c>
      <x:c r="G359" s="13" t="str">
        <x:v>February 21, 2026</x:v>
      </x:c>
      <x:c r="H359" s="13" t="str">
        <x:v>-</x:v>
      </x:c>
      <x:c r="I359" s="13" t="str">
        <x:v>Synthetic example: one party is a government office/official acting in official capacity; mark non-KP.</x:v>
      </x:c>
      <x:c r="J359" s="13" t="str">
        <x:v>Refer</x:v>
      </x:c>
      <x:c r="K359" s="13" t="str">
        <x:v>NON_KP_REFERRAL</x:v>
      </x:c>
      <x:c r="L359" s="13" t="str">
        <x:v>Not KP; government party disqualification</x:v>
      </x:c>
      <x:c r="M359" s="13" t="str">
        <x:v>Refer/route to proper government grievance, administrative, or legal office</x:v>
      </x:c>
      <x:c r="N359" s="13" t="str">
        <x:v>KP does not apply when a government office/entity is a party.</x:v>
      </x:c>
      <x:c r="O359" s="13" t="str"/>
      <x:c r="P359" s="13" t="str">
        <x:v>Reklamo sa water district na government-controlled utility</x:v>
      </x:c>
      <x:c r="Q359" s="13" t="str">
        <x:v>Added to balance 'government-party' to 49 examples using the same Justice KP label schema.</x:v>
      </x:c>
      <x:c r="R359" s="13" t="str">
        <x:v>Synthetic row based on category coverage gap from uploaded PDF</x:v>
      </x:c>
    </x:row>
    <x:row r="360" ht="36" customHeight="1">
      <x:c r="A360" s="13" t="str">
        <x:v>SYN-GOV-016</x:v>
      </x:c>
      <x:c r="B360" s="13" t="str">
        <x:v>government-party</x:v>
      </x:c>
      <x:c r="C360" s="13" t="str">
        <x:v>Synthetic</x:v>
      </x:c>
      <x:c r="D360" s="13" t="str"/>
      <x:c r="E360" s="13" t="str">
        <x:v>Disqualified</x:v>
      </x:c>
      <x:c r="F360" s="13" t="str">
        <x:v>Reklamo laban sa police officer kaugnay ng opisyal na tungkulin</x:v>
      </x:c>
      <x:c r="G360" s="13" t="str">
        <x:v>February 24, 2026</x:v>
      </x:c>
      <x:c r="H360" s="13" t="str">
        <x:v>-</x:v>
      </x:c>
      <x:c r="I360" s="13" t="str">
        <x:v>Synthetic example: one party is a government office/official acting in official capacity; mark non-KP.</x:v>
      </x:c>
      <x:c r="J360" s="13" t="str">
        <x:v>Refer</x:v>
      </x:c>
      <x:c r="K360" s="13" t="str">
        <x:v>NON_KP_REFERRAL</x:v>
      </x:c>
      <x:c r="L360" s="13" t="str">
        <x:v>Not KP; government party disqualification</x:v>
      </x:c>
      <x:c r="M360" s="13" t="str">
        <x:v>Refer/route to proper government grievance, administrative, or legal office</x:v>
      </x:c>
      <x:c r="N360" s="13" t="str">
        <x:v>KP does not apply when a government office/entity is a party.</x:v>
      </x:c>
      <x:c r="O360" s="13" t="str"/>
      <x:c r="P360" s="13" t="str">
        <x:v>Reklamo laban sa police officer kaugnay ng opisyal na tungkulin</x:v>
      </x:c>
      <x:c r="Q360" s="13" t="str">
        <x:v>Added to balance 'government-party' to 49 examples using the same Justice KP label schema.</x:v>
      </x:c>
      <x:c r="R360" s="13" t="str">
        <x:v>Synthetic row based on category coverage gap from uploaded PDF</x:v>
      </x:c>
    </x:row>
    <x:row r="361" ht="36" customHeight="1">
      <x:c r="A361" s="13" t="str">
        <x:v>SYN-GOV-017</x:v>
      </x:c>
      <x:c r="B361" s="13" t="str">
        <x:v>government-party</x:v>
      </x:c>
      <x:c r="C361" s="13" t="str">
        <x:v>Synthetic</x:v>
      </x:c>
      <x:c r="D361" s="13" t="str"/>
      <x:c r="E361" s="13" t="str">
        <x:v>Disqualified</x:v>
      </x:c>
      <x:c r="F361" s="13" t="str">
        <x:v>Usapin sa provincial office bilang respondent</x:v>
      </x:c>
      <x:c r="G361" s="13" t="str">
        <x:v>February 27, 2026</x:v>
      </x:c>
      <x:c r="H361" s="13" t="str">
        <x:v>-</x:v>
      </x:c>
      <x:c r="I361" s="13" t="str">
        <x:v>Synthetic example: one party is a government office/official acting in official capacity; mark non-KP.</x:v>
      </x:c>
      <x:c r="J361" s="13" t="str">
        <x:v>Refer</x:v>
      </x:c>
      <x:c r="K361" s="13" t="str">
        <x:v>NON_KP_REFERRAL</x:v>
      </x:c>
      <x:c r="L361" s="13" t="str">
        <x:v>Not KP; government party disqualification</x:v>
      </x:c>
      <x:c r="M361" s="13" t="str">
        <x:v>Refer/route to proper government grievance, administrative, or legal office</x:v>
      </x:c>
      <x:c r="N361" s="13" t="str">
        <x:v>KP does not apply when a government office/entity is a party.</x:v>
      </x:c>
      <x:c r="O361" s="13" t="str"/>
      <x:c r="P361" s="13" t="str">
        <x:v>Usapin sa provincial office bilang respondent</x:v>
      </x:c>
      <x:c r="Q361" s="13" t="str">
        <x:v>Added to balance 'government-party' to 49 examples using the same Justice KP label schema.</x:v>
      </x:c>
      <x:c r="R361" s="13" t="str">
        <x:v>Synthetic row based on category coverage gap from uploaded PDF</x:v>
      </x:c>
    </x:row>
    <x:row r="362" ht="36" customHeight="1">
      <x:c r="A362" s="13" t="str">
        <x:v>SYN-GOV-018</x:v>
      </x:c>
      <x:c r="B362" s="13" t="str">
        <x:v>government-party</x:v>
      </x:c>
      <x:c r="C362" s="13" t="str">
        <x:v>Synthetic</x:v>
      </x:c>
      <x:c r="D362" s="13" t="str"/>
      <x:c r="E362" s="13" t="str">
        <x:v>Disqualified</x:v>
      </x:c>
      <x:c r="F362" s="13" t="str">
        <x:v>Reklamo laban sa government hospital billing office</x:v>
      </x:c>
      <x:c r="G362" s="13" t="str">
        <x:v>March 2, 2026</x:v>
      </x:c>
      <x:c r="H362" s="13" t="str">
        <x:v>-</x:v>
      </x:c>
      <x:c r="I362" s="13" t="str">
        <x:v>Synthetic example: one party is a government office/official acting in official capacity; mark non-KP.</x:v>
      </x:c>
      <x:c r="J362" s="13" t="str">
        <x:v>Refer</x:v>
      </x:c>
      <x:c r="K362" s="13" t="str">
        <x:v>NON_KP_REFERRAL</x:v>
      </x:c>
      <x:c r="L362" s="13" t="str">
        <x:v>Not KP; government party disqualification</x:v>
      </x:c>
      <x:c r="M362" s="13" t="str">
        <x:v>Refer/route to proper government grievance, administrative, or legal office</x:v>
      </x:c>
      <x:c r="N362" s="13" t="str">
        <x:v>KP does not apply when a government office/entity is a party.</x:v>
      </x:c>
      <x:c r="O362" s="13" t="str"/>
      <x:c r="P362" s="13" t="str">
        <x:v>Reklamo laban sa government hospital billing office</x:v>
      </x:c>
      <x:c r="Q362" s="13" t="str">
        <x:v>Added to balance 'government-party' to 49 examples using the same Justice KP label schema.</x:v>
      </x:c>
      <x:c r="R362" s="13" t="str">
        <x:v>Synthetic row based on category coverage gap from uploaded PDF</x:v>
      </x:c>
    </x:row>
    <x:row r="363" ht="36" customHeight="1">
      <x:c r="A363" s="13" t="str">
        <x:v>SYN-GOV-019</x:v>
      </x:c>
      <x:c r="B363" s="13" t="str">
        <x:v>government-party</x:v>
      </x:c>
      <x:c r="C363" s="13" t="str">
        <x:v>Synthetic</x:v>
      </x:c>
      <x:c r="D363" s="13" t="str"/>
      <x:c r="E363" s="13" t="str">
        <x:v>Disqualified</x:v>
      </x:c>
      <x:c r="F363" s="13" t="str">
        <x:v>Dispute sa road-clearing action ng municipal office</x:v>
      </x:c>
      <x:c r="G363" s="13" t="str">
        <x:v>March 5, 2026</x:v>
      </x:c>
      <x:c r="H363" s="13" t="str">
        <x:v>-</x:v>
      </x:c>
      <x:c r="I363" s="13" t="str">
        <x:v>Synthetic example: one party is a government office/official acting in official capacity; mark non-KP.</x:v>
      </x:c>
      <x:c r="J363" s="13" t="str">
        <x:v>Refer</x:v>
      </x:c>
      <x:c r="K363" s="13" t="str">
        <x:v>NON_KP_REFERRAL</x:v>
      </x:c>
      <x:c r="L363" s="13" t="str">
        <x:v>Not KP; government party disqualification</x:v>
      </x:c>
      <x:c r="M363" s="13" t="str">
        <x:v>Refer/route to proper government grievance, administrative, or legal office</x:v>
      </x:c>
      <x:c r="N363" s="13" t="str">
        <x:v>KP does not apply when a government office/entity is a party.</x:v>
      </x:c>
      <x:c r="O363" s="13" t="str"/>
      <x:c r="P363" s="13" t="str">
        <x:v>Dispute sa road-clearing action ng municipal office</x:v>
      </x:c>
      <x:c r="Q363" s="13" t="str">
        <x:v>Added to balance 'government-party' to 49 examples using the same Justice KP label schema.</x:v>
      </x:c>
      <x:c r="R363" s="13" t="str">
        <x:v>Synthetic row based on category coverage gap from uploaded PDF</x:v>
      </x:c>
    </x:row>
    <x:row r="364" ht="36" customHeight="1">
      <x:c r="A364" s="13" t="str">
        <x:v>SYN-GOV-020</x:v>
      </x:c>
      <x:c r="B364" s="13" t="str">
        <x:v>government-party</x:v>
      </x:c>
      <x:c r="C364" s="13" t="str">
        <x:v>Synthetic</x:v>
      </x:c>
      <x:c r="D364" s="13" t="str"/>
      <x:c r="E364" s="13" t="str">
        <x:v>Disqualified</x:v>
      </x:c>
      <x:c r="F364" s="13" t="str">
        <x:v>Reklamo laban sa public market administration office</x:v>
      </x:c>
      <x:c r="G364" s="13" t="str">
        <x:v>March 8, 2026</x:v>
      </x:c>
      <x:c r="H364" s="13" t="str">
        <x:v>-</x:v>
      </x:c>
      <x:c r="I364" s="13" t="str">
        <x:v>Synthetic example: one party is a government office/official acting in official capacity; mark non-KP.</x:v>
      </x:c>
      <x:c r="J364" s="13" t="str">
        <x:v>Refer</x:v>
      </x:c>
      <x:c r="K364" s="13" t="str">
        <x:v>NON_KP_REFERRAL</x:v>
      </x:c>
      <x:c r="L364" s="13" t="str">
        <x:v>Not KP; government party disqualification</x:v>
      </x:c>
      <x:c r="M364" s="13" t="str">
        <x:v>Refer/route to proper government grievance, administrative, or legal office</x:v>
      </x:c>
      <x:c r="N364" s="13" t="str">
        <x:v>KP does not apply when a government office/entity is a party.</x:v>
      </x:c>
      <x:c r="O364" s="13" t="str"/>
      <x:c r="P364" s="13" t="str">
        <x:v>Reklamo laban sa public market administration office</x:v>
      </x:c>
      <x:c r="Q364" s="13" t="str">
        <x:v>Added to balance 'government-party' to 49 examples using the same Justice KP label schema.</x:v>
      </x:c>
      <x:c r="R364" s="13" t="str">
        <x:v>Synthetic row based on category coverage gap from uploaded PDF</x:v>
      </x:c>
    </x:row>
    <x:row r="365" ht="36" customHeight="1">
      <x:c r="A365" s="13" t="str">
        <x:v>SYN-GOV-021</x:v>
      </x:c>
      <x:c r="B365" s="13" t="str">
        <x:v>government-party</x:v>
      </x:c>
      <x:c r="C365" s="13" t="str">
        <x:v>Synthetic</x:v>
      </x:c>
      <x:c r="D365" s="13" t="str"/>
      <x:c r="E365" s="13" t="str">
        <x:v>Disqualified</x:v>
      </x:c>
      <x:c r="F365" s="13" t="str">
        <x:v>Reklamo laban sa city engineering office tungkol sa proyekto</x:v>
      </x:c>
      <x:c r="G365" s="13" t="str">
        <x:v>March 11, 2026</x:v>
      </x:c>
      <x:c r="H365" s="13" t="str">
        <x:v>-</x:v>
      </x:c>
      <x:c r="I365" s="13" t="str">
        <x:v>Synthetic example: one party is a government office/official acting in official capacity; mark non-KP.</x:v>
      </x:c>
      <x:c r="J365" s="13" t="str">
        <x:v>Refer</x:v>
      </x:c>
      <x:c r="K365" s="13" t="str">
        <x:v>NON_KP_REFERRAL</x:v>
      </x:c>
      <x:c r="L365" s="13" t="str">
        <x:v>Not KP; government party disqualification</x:v>
      </x:c>
      <x:c r="M365" s="13" t="str">
        <x:v>Refer/route to proper government grievance, administrative, or legal office</x:v>
      </x:c>
      <x:c r="N365" s="13" t="str">
        <x:v>KP does not apply when a government office/entity is a party.</x:v>
      </x:c>
      <x:c r="O365" s="13" t="str"/>
      <x:c r="P365" s="13" t="str">
        <x:v>Reklamo laban sa city engineering office tungkol sa proyekto</x:v>
      </x:c>
      <x:c r="Q365" s="13" t="str">
        <x:v>Added to balance 'government-party' to 49 examples using the same Justice KP label schema.</x:v>
      </x:c>
      <x:c r="R365" s="13" t="str">
        <x:v>Synthetic row based on category coverage gap from uploaded PDF</x:v>
      </x:c>
    </x:row>
    <x:row r="366" ht="36" customHeight="1">
      <x:c r="A366" s="13" t="str">
        <x:v>SYN-GOV-022</x:v>
      </x:c>
      <x:c r="B366" s="13" t="str">
        <x:v>government-party</x:v>
      </x:c>
      <x:c r="C366" s="13" t="str">
        <x:v>Synthetic</x:v>
      </x:c>
      <x:c r="D366" s="13" t="str"/>
      <x:c r="E366" s="13" t="str">
        <x:v>Disqualified</x:v>
      </x:c>
      <x:c r="F366" s="13" t="str">
        <x:v>Usapin kung saan ang respondent ay municipal government unit</x:v>
      </x:c>
      <x:c r="G366" s="13" t="str">
        <x:v>March 14, 2026</x:v>
      </x:c>
      <x:c r="H366" s="13" t="str">
        <x:v>-</x:v>
      </x:c>
      <x:c r="I366" s="13" t="str">
        <x:v>Synthetic example: one party is a government office/official acting in official capacity; mark non-KP.</x:v>
      </x:c>
      <x:c r="J366" s="13" t="str">
        <x:v>Refer</x:v>
      </x:c>
      <x:c r="K366" s="13" t="str">
        <x:v>NON_KP_REFERRAL</x:v>
      </x:c>
      <x:c r="L366" s="13" t="str">
        <x:v>Not KP; government party disqualification</x:v>
      </x:c>
      <x:c r="M366" s="13" t="str">
        <x:v>Refer/route to proper government grievance, administrative, or legal office</x:v>
      </x:c>
      <x:c r="N366" s="13" t="str">
        <x:v>KP does not apply when a government office/entity is a party.</x:v>
      </x:c>
      <x:c r="O366" s="13" t="str"/>
      <x:c r="P366" s="13" t="str">
        <x:v>Usapin kung saan ang respondent ay municipal government unit</x:v>
      </x:c>
      <x:c r="Q366" s="13" t="str">
        <x:v>Added to balance 'government-party' to 49 examples using the same Justice KP label schema.</x:v>
      </x:c>
      <x:c r="R366" s="13" t="str">
        <x:v>Synthetic row based on category coverage gap from uploaded PDF</x:v>
      </x:c>
    </x:row>
    <x:row r="367" ht="36" customHeight="1">
      <x:c r="A367" s="13" t="str">
        <x:v>SYN-GOV-023</x:v>
      </x:c>
      <x:c r="B367" s="13" t="str">
        <x:v>government-party</x:v>
      </x:c>
      <x:c r="C367" s="13" t="str">
        <x:v>Synthetic</x:v>
      </x:c>
      <x:c r="D367" s="13" t="str"/>
      <x:c r="E367" s="13" t="str">
        <x:v>Disqualified</x:v>
      </x:c>
      <x:c r="F367" s="13" t="str">
        <x:v>Reklamo laban sa barangay official kaugnay ng official duty</x:v>
      </x:c>
      <x:c r="G367" s="13" t="str">
        <x:v>March 17, 2026</x:v>
      </x:c>
      <x:c r="H367" s="13" t="str">
        <x:v>-</x:v>
      </x:c>
      <x:c r="I367" s="13" t="str">
        <x:v>Synthetic example: one party is a government office/official acting in official capacity; mark non-KP.</x:v>
      </x:c>
      <x:c r="J367" s="13" t="str">
        <x:v>Refer</x:v>
      </x:c>
      <x:c r="K367" s="13" t="str">
        <x:v>NON_KP_REFERRAL</x:v>
      </x:c>
      <x:c r="L367" s="13" t="str">
        <x:v>Not KP; government party disqualification</x:v>
      </x:c>
      <x:c r="M367" s="13" t="str">
        <x:v>Refer/route to proper government grievance, administrative, or legal office</x:v>
      </x:c>
      <x:c r="N367" s="13" t="str">
        <x:v>KP does not apply when a government office/entity is a party.</x:v>
      </x:c>
      <x:c r="O367" s="13" t="str"/>
      <x:c r="P367" s="13" t="str">
        <x:v>Reklamo laban sa barangay official kaugnay ng official duty</x:v>
      </x:c>
      <x:c r="Q367" s="13" t="str">
        <x:v>Added to balance 'government-party' to 49 examples using the same Justice KP label schema.</x:v>
      </x:c>
      <x:c r="R367" s="13" t="str">
        <x:v>Synthetic row based on category coverage gap from uploaded PDF</x:v>
      </x:c>
    </x:row>
    <x:row r="368" ht="36" customHeight="1">
      <x:c r="A368" s="13" t="str">
        <x:v>SYN-GOV-024</x:v>
      </x:c>
      <x:c r="B368" s="13" t="str">
        <x:v>government-party</x:v>
      </x:c>
      <x:c r="C368" s="13" t="str">
        <x:v>Synthetic</x:v>
      </x:c>
      <x:c r="D368" s="13" t="str"/>
      <x:c r="E368" s="13" t="str">
        <x:v>Disqualified</x:v>
      </x:c>
      <x:c r="F368" s="13" t="str">
        <x:v>Dispute laban sa public school office bilang party</x:v>
      </x:c>
      <x:c r="G368" s="13" t="str">
        <x:v>March 20, 2026</x:v>
      </x:c>
      <x:c r="H368" s="13" t="str">
        <x:v>-</x:v>
      </x:c>
      <x:c r="I368" s="13" t="str">
        <x:v>Synthetic example: one party is a government office/official acting in official capacity; mark non-KP.</x:v>
      </x:c>
      <x:c r="J368" s="13" t="str">
        <x:v>Refer</x:v>
      </x:c>
      <x:c r="K368" s="13" t="str">
        <x:v>NON_KP_REFERRAL</x:v>
      </x:c>
      <x:c r="L368" s="13" t="str">
        <x:v>Not KP; government party disqualification</x:v>
      </x:c>
      <x:c r="M368" s="13" t="str">
        <x:v>Refer/route to proper government grievance, administrative, or legal office</x:v>
      </x:c>
      <x:c r="N368" s="13" t="str">
        <x:v>KP does not apply when a government office/entity is a party.</x:v>
      </x:c>
      <x:c r="O368" s="13" t="str"/>
      <x:c r="P368" s="13" t="str">
        <x:v>Dispute laban sa public school office bilang party</x:v>
      </x:c>
      <x:c r="Q368" s="13" t="str">
        <x:v>Added to balance 'government-party' to 49 examples using the same Justice KP label schema.</x:v>
      </x:c>
      <x:c r="R368" s="13" t="str">
        <x:v>Synthetic row based on category coverage gap from uploaded PDF</x:v>
      </x:c>
    </x:row>
    <x:row r="369" ht="36" customHeight="1">
      <x:c r="A369" s="13" t="str">
        <x:v>SYN-GOV-025</x:v>
      </x:c>
      <x:c r="B369" s="13" t="str">
        <x:v>government-party</x:v>
      </x:c>
      <x:c r="C369" s="13" t="str">
        <x:v>Synthetic</x:v>
      </x:c>
      <x:c r="D369" s="13" t="str"/>
      <x:c r="E369" s="13" t="str">
        <x:v>Disqualified</x:v>
      </x:c>
      <x:c r="F369" s="13" t="str">
        <x:v>Reklamo sa water district na government-controlled utility</x:v>
      </x:c>
      <x:c r="G369" s="13" t="str">
        <x:v>March 23, 2026</x:v>
      </x:c>
      <x:c r="H369" s="13" t="str">
        <x:v>-</x:v>
      </x:c>
      <x:c r="I369" s="13" t="str">
        <x:v>Synthetic example: one party is a government office/official acting in official capacity; mark non-KP.</x:v>
      </x:c>
      <x:c r="J369" s="13" t="str">
        <x:v>Refer</x:v>
      </x:c>
      <x:c r="K369" s="13" t="str">
        <x:v>NON_KP_REFERRAL</x:v>
      </x:c>
      <x:c r="L369" s="13" t="str">
        <x:v>Not KP; government party disqualification</x:v>
      </x:c>
      <x:c r="M369" s="13" t="str">
        <x:v>Refer/route to proper government grievance, administrative, or legal office</x:v>
      </x:c>
      <x:c r="N369" s="13" t="str">
        <x:v>KP does not apply when a government office/entity is a party.</x:v>
      </x:c>
      <x:c r="O369" s="13" t="str"/>
      <x:c r="P369" s="13" t="str">
        <x:v>Reklamo sa water district na government-controlled utility</x:v>
      </x:c>
      <x:c r="Q369" s="13" t="str">
        <x:v>Added to balance 'government-party' to 49 examples using the same Justice KP label schema.</x:v>
      </x:c>
      <x:c r="R369" s="13" t="str">
        <x:v>Synthetic row based on category coverage gap from uploaded PDF</x:v>
      </x:c>
    </x:row>
    <x:row r="370" ht="36" customHeight="1">
      <x:c r="A370" s="13" t="str">
        <x:v>SYN-GOV-026</x:v>
      </x:c>
      <x:c r="B370" s="13" t="str">
        <x:v>government-party</x:v>
      </x:c>
      <x:c r="C370" s="13" t="str">
        <x:v>Synthetic</x:v>
      </x:c>
      <x:c r="D370" s="13" t="str"/>
      <x:c r="E370" s="13" t="str">
        <x:v>Disqualified</x:v>
      </x:c>
      <x:c r="F370" s="13" t="str">
        <x:v>Reklamo laban sa police officer kaugnay ng opisyal na tungkulin</x:v>
      </x:c>
      <x:c r="G370" s="13" t="str">
        <x:v>March 26, 2026</x:v>
      </x:c>
      <x:c r="H370" s="13" t="str">
        <x:v>-</x:v>
      </x:c>
      <x:c r="I370" s="13" t="str">
        <x:v>Synthetic example: one party is a government office/official acting in official capacity; mark non-KP.</x:v>
      </x:c>
      <x:c r="J370" s="13" t="str">
        <x:v>Refer</x:v>
      </x:c>
      <x:c r="K370" s="13" t="str">
        <x:v>NON_KP_REFERRAL</x:v>
      </x:c>
      <x:c r="L370" s="13" t="str">
        <x:v>Not KP; government party disqualification</x:v>
      </x:c>
      <x:c r="M370" s="13" t="str">
        <x:v>Refer/route to proper government grievance, administrative, or legal office</x:v>
      </x:c>
      <x:c r="N370" s="13" t="str">
        <x:v>KP does not apply when a government office/entity is a party.</x:v>
      </x:c>
      <x:c r="O370" s="13" t="str"/>
      <x:c r="P370" s="13" t="str">
        <x:v>Reklamo laban sa police officer kaugnay ng opisyal na tungkulin</x:v>
      </x:c>
      <x:c r="Q370" s="13" t="str">
        <x:v>Added to balance 'government-party' to 49 examples using the same Justice KP label schema.</x:v>
      </x:c>
      <x:c r="R370" s="13" t="str">
        <x:v>Synthetic row based on category coverage gap from uploaded PDF</x:v>
      </x:c>
    </x:row>
    <x:row r="371" ht="36" customHeight="1">
      <x:c r="A371" s="13" t="str">
        <x:v>SYN-GOV-027</x:v>
      </x:c>
      <x:c r="B371" s="13" t="str">
        <x:v>government-party</x:v>
      </x:c>
      <x:c r="C371" s="13" t="str">
        <x:v>Synthetic</x:v>
      </x:c>
      <x:c r="D371" s="13" t="str"/>
      <x:c r="E371" s="13" t="str">
        <x:v>Disqualified</x:v>
      </x:c>
      <x:c r="F371" s="13" t="str">
        <x:v>Usapin sa provincial office bilang respondent</x:v>
      </x:c>
      <x:c r="G371" s="13" t="str">
        <x:v>March 29, 2026</x:v>
      </x:c>
      <x:c r="H371" s="13" t="str">
        <x:v>-</x:v>
      </x:c>
      <x:c r="I371" s="13" t="str">
        <x:v>Synthetic example: one party is a government office/official acting in official capacity; mark non-KP.</x:v>
      </x:c>
      <x:c r="J371" s="13" t="str">
        <x:v>Refer</x:v>
      </x:c>
      <x:c r="K371" s="13" t="str">
        <x:v>NON_KP_REFERRAL</x:v>
      </x:c>
      <x:c r="L371" s="13" t="str">
        <x:v>Not KP; government party disqualification</x:v>
      </x:c>
      <x:c r="M371" s="13" t="str">
        <x:v>Refer/route to proper government grievance, administrative, or legal office</x:v>
      </x:c>
      <x:c r="N371" s="13" t="str">
        <x:v>KP does not apply when a government office/entity is a party.</x:v>
      </x:c>
      <x:c r="O371" s="13" t="str"/>
      <x:c r="P371" s="13" t="str">
        <x:v>Usapin sa provincial office bilang respondent</x:v>
      </x:c>
      <x:c r="Q371" s="13" t="str">
        <x:v>Added to balance 'government-party' to 49 examples using the same Justice KP label schema.</x:v>
      </x:c>
      <x:c r="R371" s="13" t="str">
        <x:v>Synthetic row based on category coverage gap from uploaded PDF</x:v>
      </x:c>
    </x:row>
    <x:row r="372" ht="36" customHeight="1">
      <x:c r="A372" s="13" t="str">
        <x:v>SYN-GOV-028</x:v>
      </x:c>
      <x:c r="B372" s="13" t="str">
        <x:v>government-party</x:v>
      </x:c>
      <x:c r="C372" s="13" t="str">
        <x:v>Synthetic</x:v>
      </x:c>
      <x:c r="D372" s="13" t="str"/>
      <x:c r="E372" s="13" t="str">
        <x:v>Disqualified</x:v>
      </x:c>
      <x:c r="F372" s="13" t="str">
        <x:v>Reklamo laban sa government hospital billing office</x:v>
      </x:c>
      <x:c r="G372" s="13" t="str">
        <x:v>April 1, 2026</x:v>
      </x:c>
      <x:c r="H372" s="13" t="str">
        <x:v>-</x:v>
      </x:c>
      <x:c r="I372" s="13" t="str">
        <x:v>Synthetic example: one party is a government office/official acting in official capacity; mark non-KP.</x:v>
      </x:c>
      <x:c r="J372" s="13" t="str">
        <x:v>Refer</x:v>
      </x:c>
      <x:c r="K372" s="13" t="str">
        <x:v>NON_KP_REFERRAL</x:v>
      </x:c>
      <x:c r="L372" s="13" t="str">
        <x:v>Not KP; government party disqualification</x:v>
      </x:c>
      <x:c r="M372" s="13" t="str">
        <x:v>Refer/route to proper government grievance, administrative, or legal office</x:v>
      </x:c>
      <x:c r="N372" s="13" t="str">
        <x:v>KP does not apply when a government office/entity is a party.</x:v>
      </x:c>
      <x:c r="O372" s="13" t="str"/>
      <x:c r="P372" s="13" t="str">
        <x:v>Reklamo laban sa government hospital billing office</x:v>
      </x:c>
      <x:c r="Q372" s="13" t="str">
        <x:v>Added to balance 'government-party' to 49 examples using the same Justice KP label schema.</x:v>
      </x:c>
      <x:c r="R372" s="13" t="str">
        <x:v>Synthetic row based on category coverage gap from uploaded PDF</x:v>
      </x:c>
    </x:row>
    <x:row r="373" ht="36" customHeight="1">
      <x:c r="A373" s="13" t="str">
        <x:v>SYN-GOV-029</x:v>
      </x:c>
      <x:c r="B373" s="13" t="str">
        <x:v>government-party</x:v>
      </x:c>
      <x:c r="C373" s="13" t="str">
        <x:v>Synthetic</x:v>
      </x:c>
      <x:c r="D373" s="13" t="str"/>
      <x:c r="E373" s="13" t="str">
        <x:v>Disqualified</x:v>
      </x:c>
      <x:c r="F373" s="13" t="str">
        <x:v>Dispute sa road-clearing action ng municipal office</x:v>
      </x:c>
      <x:c r="G373" s="13" t="str">
        <x:v>April 4, 2026</x:v>
      </x:c>
      <x:c r="H373" s="13" t="str">
        <x:v>-</x:v>
      </x:c>
      <x:c r="I373" s="13" t="str">
        <x:v>Synthetic example: one party is a government office/official acting in official capacity; mark non-KP.</x:v>
      </x:c>
      <x:c r="J373" s="13" t="str">
        <x:v>Refer</x:v>
      </x:c>
      <x:c r="K373" s="13" t="str">
        <x:v>NON_KP_REFERRAL</x:v>
      </x:c>
      <x:c r="L373" s="13" t="str">
        <x:v>Not KP; government party disqualification</x:v>
      </x:c>
      <x:c r="M373" s="13" t="str">
        <x:v>Refer/route to proper government grievance, administrative, or legal office</x:v>
      </x:c>
      <x:c r="N373" s="13" t="str">
        <x:v>KP does not apply when a government office/entity is a party.</x:v>
      </x:c>
      <x:c r="O373" s="13" t="str"/>
      <x:c r="P373" s="13" t="str">
        <x:v>Dispute sa road-clearing action ng municipal office</x:v>
      </x:c>
      <x:c r="Q373" s="13" t="str">
        <x:v>Added to balance 'government-party' to 49 examples using the same Justice KP label schema.</x:v>
      </x:c>
      <x:c r="R373" s="13" t="str">
        <x:v>Synthetic row based on category coverage gap from uploaded PDF</x:v>
      </x:c>
    </x:row>
    <x:row r="374" ht="36" customHeight="1">
      <x:c r="A374" s="13" t="str">
        <x:v>SYN-GOV-030</x:v>
      </x:c>
      <x:c r="B374" s="13" t="str">
        <x:v>government-party</x:v>
      </x:c>
      <x:c r="C374" s="13" t="str">
        <x:v>Synthetic</x:v>
      </x:c>
      <x:c r="D374" s="13" t="str"/>
      <x:c r="E374" s="13" t="str">
        <x:v>Disqualified</x:v>
      </x:c>
      <x:c r="F374" s="13" t="str">
        <x:v>Reklamo laban sa public market administration office</x:v>
      </x:c>
      <x:c r="G374" s="13" t="str">
        <x:v>April 7, 2026</x:v>
      </x:c>
      <x:c r="H374" s="13" t="str">
        <x:v>-</x:v>
      </x:c>
      <x:c r="I374" s="13" t="str">
        <x:v>Synthetic example: one party is a government office/official acting in official capacity; mark non-KP.</x:v>
      </x:c>
      <x:c r="J374" s="13" t="str">
        <x:v>Refer</x:v>
      </x:c>
      <x:c r="K374" s="13" t="str">
        <x:v>NON_KP_REFERRAL</x:v>
      </x:c>
      <x:c r="L374" s="13" t="str">
        <x:v>Not KP; government party disqualification</x:v>
      </x:c>
      <x:c r="M374" s="13" t="str">
        <x:v>Refer/route to proper government grievance, administrative, or legal office</x:v>
      </x:c>
      <x:c r="N374" s="13" t="str">
        <x:v>KP does not apply when a government office/entity is a party.</x:v>
      </x:c>
      <x:c r="O374" s="13" t="str"/>
      <x:c r="P374" s="13" t="str">
        <x:v>Reklamo laban sa public market administration office</x:v>
      </x:c>
      <x:c r="Q374" s="13" t="str">
        <x:v>Added to balance 'government-party' to 49 examples using the same Justice KP label schema.</x:v>
      </x:c>
      <x:c r="R374" s="13" t="str">
        <x:v>Synthetic row based on category coverage gap from uploaded PDF</x:v>
      </x:c>
    </x:row>
    <x:row r="375" ht="36" customHeight="1">
      <x:c r="A375" s="13" t="str">
        <x:v>SYN-GOV-031</x:v>
      </x:c>
      <x:c r="B375" s="13" t="str">
        <x:v>government-party</x:v>
      </x:c>
      <x:c r="C375" s="13" t="str">
        <x:v>Synthetic</x:v>
      </x:c>
      <x:c r="D375" s="13" t="str"/>
      <x:c r="E375" s="13" t="str">
        <x:v>Disqualified</x:v>
      </x:c>
      <x:c r="F375" s="13" t="str">
        <x:v>Reklamo laban sa city engineering office tungkol sa proyekto</x:v>
      </x:c>
      <x:c r="G375" s="13" t="str">
        <x:v>April 10, 2026</x:v>
      </x:c>
      <x:c r="H375" s="13" t="str">
        <x:v>-</x:v>
      </x:c>
      <x:c r="I375" s="13" t="str">
        <x:v>Synthetic example: one party is a government office/official acting in official capacity; mark non-KP.</x:v>
      </x:c>
      <x:c r="J375" s="13" t="str">
        <x:v>Refer</x:v>
      </x:c>
      <x:c r="K375" s="13" t="str">
        <x:v>NON_KP_REFERRAL</x:v>
      </x:c>
      <x:c r="L375" s="13" t="str">
        <x:v>Not KP; government party disqualification</x:v>
      </x:c>
      <x:c r="M375" s="13" t="str">
        <x:v>Refer/route to proper government grievance, administrative, or legal office</x:v>
      </x:c>
      <x:c r="N375" s="13" t="str">
        <x:v>KP does not apply when a government office/entity is a party.</x:v>
      </x:c>
      <x:c r="O375" s="13" t="str"/>
      <x:c r="P375" s="13" t="str">
        <x:v>Reklamo laban sa city engineering office tungkol sa proyekto</x:v>
      </x:c>
      <x:c r="Q375" s="13" t="str">
        <x:v>Added to balance 'government-party' to 49 examples using the same Justice KP label schema.</x:v>
      </x:c>
      <x:c r="R375" s="13" t="str">
        <x:v>Synthetic row based on category coverage gap from uploaded PDF</x:v>
      </x:c>
    </x:row>
    <x:row r="376" ht="36" customHeight="1">
      <x:c r="A376" s="13" t="str">
        <x:v>SYN-GOV-032</x:v>
      </x:c>
      <x:c r="B376" s="13" t="str">
        <x:v>government-party</x:v>
      </x:c>
      <x:c r="C376" s="13" t="str">
        <x:v>Synthetic</x:v>
      </x:c>
      <x:c r="D376" s="13" t="str"/>
      <x:c r="E376" s="13" t="str">
        <x:v>Disqualified</x:v>
      </x:c>
      <x:c r="F376" s="13" t="str">
        <x:v>Usapin kung saan ang respondent ay municipal government unit</x:v>
      </x:c>
      <x:c r="G376" s="13" t="str">
        <x:v>April 13, 2026</x:v>
      </x:c>
      <x:c r="H376" s="13" t="str">
        <x:v>-</x:v>
      </x:c>
      <x:c r="I376" s="13" t="str">
        <x:v>Synthetic example: one party is a government office/official acting in official capacity; mark non-KP.</x:v>
      </x:c>
      <x:c r="J376" s="13" t="str">
        <x:v>Refer</x:v>
      </x:c>
      <x:c r="K376" s="13" t="str">
        <x:v>NON_KP_REFERRAL</x:v>
      </x:c>
      <x:c r="L376" s="13" t="str">
        <x:v>Not KP; government party disqualification</x:v>
      </x:c>
      <x:c r="M376" s="13" t="str">
        <x:v>Refer/route to proper government grievance, administrative, or legal office</x:v>
      </x:c>
      <x:c r="N376" s="13" t="str">
        <x:v>KP does not apply when a government office/entity is a party.</x:v>
      </x:c>
      <x:c r="O376" s="13" t="str"/>
      <x:c r="P376" s="13" t="str">
        <x:v>Usapin kung saan ang respondent ay municipal government unit</x:v>
      </x:c>
      <x:c r="Q376" s="13" t="str">
        <x:v>Added to balance 'government-party' to 49 examples using the same Justice KP label schema.</x:v>
      </x:c>
      <x:c r="R376" s="13" t="str">
        <x:v>Synthetic row based on category coverage gap from uploaded PDF</x:v>
      </x:c>
    </x:row>
    <x:row r="377" ht="36" customHeight="1">
      <x:c r="A377" s="13" t="str">
        <x:v>SYN-GOV-033</x:v>
      </x:c>
      <x:c r="B377" s="13" t="str">
        <x:v>government-party</x:v>
      </x:c>
      <x:c r="C377" s="13" t="str">
        <x:v>Synthetic</x:v>
      </x:c>
      <x:c r="D377" s="13" t="str"/>
      <x:c r="E377" s="13" t="str">
        <x:v>Disqualified</x:v>
      </x:c>
      <x:c r="F377" s="13" t="str">
        <x:v>Reklamo laban sa barangay official kaugnay ng official duty</x:v>
      </x:c>
      <x:c r="G377" s="13" t="str">
        <x:v>April 16, 2026</x:v>
      </x:c>
      <x:c r="H377" s="13" t="str">
        <x:v>-</x:v>
      </x:c>
      <x:c r="I377" s="13" t="str">
        <x:v>Synthetic example: one party is a government office/official acting in official capacity; mark non-KP.</x:v>
      </x:c>
      <x:c r="J377" s="13" t="str">
        <x:v>Refer</x:v>
      </x:c>
      <x:c r="K377" s="13" t="str">
        <x:v>NON_KP_REFERRAL</x:v>
      </x:c>
      <x:c r="L377" s="13" t="str">
        <x:v>Not KP; government party disqualification</x:v>
      </x:c>
      <x:c r="M377" s="13" t="str">
        <x:v>Refer/route to proper government grievance, administrative, or legal office</x:v>
      </x:c>
      <x:c r="N377" s="13" t="str">
        <x:v>KP does not apply when a government office/entity is a party.</x:v>
      </x:c>
      <x:c r="O377" s="13" t="str"/>
      <x:c r="P377" s="13" t="str">
        <x:v>Reklamo laban sa barangay official kaugnay ng official duty</x:v>
      </x:c>
      <x:c r="Q377" s="13" t="str">
        <x:v>Added to balance 'government-party' to 49 examples using the same Justice KP label schema.</x:v>
      </x:c>
      <x:c r="R377" s="13" t="str">
        <x:v>Synthetic row based on category coverage gap from uploaded PDF</x:v>
      </x:c>
    </x:row>
    <x:row r="378" ht="36" customHeight="1">
      <x:c r="A378" s="13" t="str">
        <x:v>SYN-GOV-034</x:v>
      </x:c>
      <x:c r="B378" s="13" t="str">
        <x:v>government-party</x:v>
      </x:c>
      <x:c r="C378" s="13" t="str">
        <x:v>Synthetic</x:v>
      </x:c>
      <x:c r="D378" s="13" t="str"/>
      <x:c r="E378" s="13" t="str">
        <x:v>Disqualified</x:v>
      </x:c>
      <x:c r="F378" s="13" t="str">
        <x:v>Dispute laban sa public school office bilang party</x:v>
      </x:c>
      <x:c r="G378" s="13" t="str">
        <x:v>April 19, 2026</x:v>
      </x:c>
      <x:c r="H378" s="13" t="str">
        <x:v>-</x:v>
      </x:c>
      <x:c r="I378" s="13" t="str">
        <x:v>Synthetic example: one party is a government office/official acting in official capacity; mark non-KP.</x:v>
      </x:c>
      <x:c r="J378" s="13" t="str">
        <x:v>Refer</x:v>
      </x:c>
      <x:c r="K378" s="13" t="str">
        <x:v>NON_KP_REFERRAL</x:v>
      </x:c>
      <x:c r="L378" s="13" t="str">
        <x:v>Not KP; government party disqualification</x:v>
      </x:c>
      <x:c r="M378" s="13" t="str">
        <x:v>Refer/route to proper government grievance, administrative, or legal office</x:v>
      </x:c>
      <x:c r="N378" s="13" t="str">
        <x:v>KP does not apply when a government office/entity is a party.</x:v>
      </x:c>
      <x:c r="O378" s="13" t="str"/>
      <x:c r="P378" s="13" t="str">
        <x:v>Dispute laban sa public school office bilang party</x:v>
      </x:c>
      <x:c r="Q378" s="13" t="str">
        <x:v>Added to balance 'government-party' to 49 examples using the same Justice KP label schema.</x:v>
      </x:c>
      <x:c r="R378" s="13" t="str">
        <x:v>Synthetic row based on category coverage gap from uploaded PDF</x:v>
      </x:c>
    </x:row>
    <x:row r="379" ht="36" customHeight="1">
      <x:c r="A379" s="13" t="str">
        <x:v>SYN-GOV-035</x:v>
      </x:c>
      <x:c r="B379" s="13" t="str">
        <x:v>government-party</x:v>
      </x:c>
      <x:c r="C379" s="13" t="str">
        <x:v>Synthetic</x:v>
      </x:c>
      <x:c r="D379" s="13" t="str"/>
      <x:c r="E379" s="13" t="str">
        <x:v>Disqualified</x:v>
      </x:c>
      <x:c r="F379" s="13" t="str">
        <x:v>Reklamo sa water district na government-controlled utility</x:v>
      </x:c>
      <x:c r="G379" s="13" t="str">
        <x:v>April 22, 2026</x:v>
      </x:c>
      <x:c r="H379" s="13" t="str">
        <x:v>-</x:v>
      </x:c>
      <x:c r="I379" s="13" t="str">
        <x:v>Synthetic example: one party is a government office/official acting in official capacity; mark non-KP.</x:v>
      </x:c>
      <x:c r="J379" s="13" t="str">
        <x:v>Refer</x:v>
      </x:c>
      <x:c r="K379" s="13" t="str">
        <x:v>NON_KP_REFERRAL</x:v>
      </x:c>
      <x:c r="L379" s="13" t="str">
        <x:v>Not KP; government party disqualification</x:v>
      </x:c>
      <x:c r="M379" s="13" t="str">
        <x:v>Refer/route to proper government grievance, administrative, or legal office</x:v>
      </x:c>
      <x:c r="N379" s="13" t="str">
        <x:v>KP does not apply when a government office/entity is a party.</x:v>
      </x:c>
      <x:c r="O379" s="13" t="str"/>
      <x:c r="P379" s="13" t="str">
        <x:v>Reklamo sa water district na government-controlled utility</x:v>
      </x:c>
      <x:c r="Q379" s="13" t="str">
        <x:v>Added to balance 'government-party' to 49 examples using the same Justice KP label schema.</x:v>
      </x:c>
      <x:c r="R379" s="13" t="str">
        <x:v>Synthetic row based on category coverage gap from uploaded PDF</x:v>
      </x:c>
    </x:row>
    <x:row r="380" ht="36" customHeight="1">
      <x:c r="A380" s="13" t="str">
        <x:v>SYN-GOV-036</x:v>
      </x:c>
      <x:c r="B380" s="13" t="str">
        <x:v>government-party</x:v>
      </x:c>
      <x:c r="C380" s="13" t="str">
        <x:v>Synthetic</x:v>
      </x:c>
      <x:c r="D380" s="13" t="str"/>
      <x:c r="E380" s="13" t="str">
        <x:v>Disqualified</x:v>
      </x:c>
      <x:c r="F380" s="13" t="str">
        <x:v>Reklamo laban sa police officer kaugnay ng opisyal na tungkulin</x:v>
      </x:c>
      <x:c r="G380" s="13" t="str">
        <x:v>April 25, 2026</x:v>
      </x:c>
      <x:c r="H380" s="13" t="str">
        <x:v>-</x:v>
      </x:c>
      <x:c r="I380" s="13" t="str">
        <x:v>Synthetic example: one party is a government office/official acting in official capacity; mark non-KP.</x:v>
      </x:c>
      <x:c r="J380" s="13" t="str">
        <x:v>Refer</x:v>
      </x:c>
      <x:c r="K380" s="13" t="str">
        <x:v>NON_KP_REFERRAL</x:v>
      </x:c>
      <x:c r="L380" s="13" t="str">
        <x:v>Not KP; government party disqualification</x:v>
      </x:c>
      <x:c r="M380" s="13" t="str">
        <x:v>Refer/route to proper government grievance, administrative, or legal office</x:v>
      </x:c>
      <x:c r="N380" s="13" t="str">
        <x:v>KP does not apply when a government office/entity is a party.</x:v>
      </x:c>
      <x:c r="O380" s="13" t="str"/>
      <x:c r="P380" s="13" t="str">
        <x:v>Reklamo laban sa police officer kaugnay ng opisyal na tungkulin</x:v>
      </x:c>
      <x:c r="Q380" s="13" t="str">
        <x:v>Added to balance 'government-party' to 49 examples using the same Justice KP label schema.</x:v>
      </x:c>
      <x:c r="R380" s="13" t="str">
        <x:v>Synthetic row based on category coverage gap from uploaded PDF</x:v>
      </x:c>
    </x:row>
    <x:row r="381" ht="36" customHeight="1">
      <x:c r="A381" s="13" t="str">
        <x:v>SYN-GOV-037</x:v>
      </x:c>
      <x:c r="B381" s="13" t="str">
        <x:v>government-party</x:v>
      </x:c>
      <x:c r="C381" s="13" t="str">
        <x:v>Synthetic</x:v>
      </x:c>
      <x:c r="D381" s="13" t="str"/>
      <x:c r="E381" s="13" t="str">
        <x:v>Disqualified</x:v>
      </x:c>
      <x:c r="F381" s="13" t="str">
        <x:v>Usapin sa provincial office bilang respondent</x:v>
      </x:c>
      <x:c r="G381" s="13" t="str">
        <x:v>April 28, 2026</x:v>
      </x:c>
      <x:c r="H381" s="13" t="str">
        <x:v>-</x:v>
      </x:c>
      <x:c r="I381" s="13" t="str">
        <x:v>Synthetic example: one party is a government office/official acting in official capacity; mark non-KP.</x:v>
      </x:c>
      <x:c r="J381" s="13" t="str">
        <x:v>Refer</x:v>
      </x:c>
      <x:c r="K381" s="13" t="str">
        <x:v>NON_KP_REFERRAL</x:v>
      </x:c>
      <x:c r="L381" s="13" t="str">
        <x:v>Not KP; government party disqualification</x:v>
      </x:c>
      <x:c r="M381" s="13" t="str">
        <x:v>Refer/route to proper government grievance, administrative, or legal office</x:v>
      </x:c>
      <x:c r="N381" s="13" t="str">
        <x:v>KP does not apply when a government office/entity is a party.</x:v>
      </x:c>
      <x:c r="O381" s="13" t="str"/>
      <x:c r="P381" s="13" t="str">
        <x:v>Usapin sa provincial office bilang respondent</x:v>
      </x:c>
      <x:c r="Q381" s="13" t="str">
        <x:v>Added to balance 'government-party' to 49 examples using the same Justice KP label schema.</x:v>
      </x:c>
      <x:c r="R381" s="13" t="str">
        <x:v>Synthetic row based on category coverage gap from uploaded PDF</x:v>
      </x:c>
    </x:row>
    <x:row r="382" ht="36" customHeight="1">
      <x:c r="A382" s="13" t="str">
        <x:v>SYN-GOV-038</x:v>
      </x:c>
      <x:c r="B382" s="13" t="str">
        <x:v>government-party</x:v>
      </x:c>
      <x:c r="C382" s="13" t="str">
        <x:v>Synthetic</x:v>
      </x:c>
      <x:c r="D382" s="13" t="str"/>
      <x:c r="E382" s="13" t="str">
        <x:v>Disqualified</x:v>
      </x:c>
      <x:c r="F382" s="13" t="str">
        <x:v>Reklamo laban sa government hospital billing office</x:v>
      </x:c>
      <x:c r="G382" s="13" t="str">
        <x:v>May 1, 2026</x:v>
      </x:c>
      <x:c r="H382" s="13" t="str">
        <x:v>-</x:v>
      </x:c>
      <x:c r="I382" s="13" t="str">
        <x:v>Synthetic example: one party is a government office/official acting in official capacity; mark non-KP.</x:v>
      </x:c>
      <x:c r="J382" s="13" t="str">
        <x:v>Refer</x:v>
      </x:c>
      <x:c r="K382" s="13" t="str">
        <x:v>NON_KP_REFERRAL</x:v>
      </x:c>
      <x:c r="L382" s="13" t="str">
        <x:v>Not KP; government party disqualification</x:v>
      </x:c>
      <x:c r="M382" s="13" t="str">
        <x:v>Refer/route to proper government grievance, administrative, or legal office</x:v>
      </x:c>
      <x:c r="N382" s="13" t="str">
        <x:v>KP does not apply when a government office/entity is a party.</x:v>
      </x:c>
      <x:c r="O382" s="13" t="str"/>
      <x:c r="P382" s="13" t="str">
        <x:v>Reklamo laban sa government hospital billing office</x:v>
      </x:c>
      <x:c r="Q382" s="13" t="str">
        <x:v>Added to balance 'government-party' to 49 examples using the same Justice KP label schema.</x:v>
      </x:c>
      <x:c r="R382" s="13" t="str">
        <x:v>Synthetic row based on category coverage gap from uploaded PDF</x:v>
      </x:c>
    </x:row>
    <x:row r="383" ht="36" customHeight="1">
      <x:c r="A383" s="13" t="str">
        <x:v>SYN-GOV-039</x:v>
      </x:c>
      <x:c r="B383" s="13" t="str">
        <x:v>government-party</x:v>
      </x:c>
      <x:c r="C383" s="13" t="str">
        <x:v>Synthetic</x:v>
      </x:c>
      <x:c r="D383" s="13" t="str"/>
      <x:c r="E383" s="13" t="str">
        <x:v>Disqualified</x:v>
      </x:c>
      <x:c r="F383" s="13" t="str">
        <x:v>Dispute sa road-clearing action ng municipal office</x:v>
      </x:c>
      <x:c r="G383" s="13" t="str">
        <x:v>May 4, 2026</x:v>
      </x:c>
      <x:c r="H383" s="13" t="str">
        <x:v>-</x:v>
      </x:c>
      <x:c r="I383" s="13" t="str">
        <x:v>Synthetic example: one party is a government office/official acting in official capacity; mark non-KP.</x:v>
      </x:c>
      <x:c r="J383" s="13" t="str">
        <x:v>Refer</x:v>
      </x:c>
      <x:c r="K383" s="13" t="str">
        <x:v>NON_KP_REFERRAL</x:v>
      </x:c>
      <x:c r="L383" s="13" t="str">
        <x:v>Not KP; government party disqualification</x:v>
      </x:c>
      <x:c r="M383" s="13" t="str">
        <x:v>Refer/route to proper government grievance, administrative, or legal office</x:v>
      </x:c>
      <x:c r="N383" s="13" t="str">
        <x:v>KP does not apply when a government office/entity is a party.</x:v>
      </x:c>
      <x:c r="O383" s="13" t="str"/>
      <x:c r="P383" s="13" t="str">
        <x:v>Dispute sa road-clearing action ng municipal office</x:v>
      </x:c>
      <x:c r="Q383" s="13" t="str">
        <x:v>Added to balance 'government-party' to 49 examples using the same Justice KP label schema.</x:v>
      </x:c>
      <x:c r="R383" s="13" t="str">
        <x:v>Synthetic row based on category coverage gap from uploaded PDF</x:v>
      </x:c>
    </x:row>
    <x:row r="384" ht="36" customHeight="1">
      <x:c r="A384" s="13" t="str">
        <x:v>SYN-GOV-040</x:v>
      </x:c>
      <x:c r="B384" s="13" t="str">
        <x:v>government-party</x:v>
      </x:c>
      <x:c r="C384" s="13" t="str">
        <x:v>Synthetic</x:v>
      </x:c>
      <x:c r="D384" s="13" t="str"/>
      <x:c r="E384" s="13" t="str">
        <x:v>Disqualified</x:v>
      </x:c>
      <x:c r="F384" s="13" t="str">
        <x:v>Reklamo laban sa public market administration office</x:v>
      </x:c>
      <x:c r="G384" s="13" t="str">
        <x:v>May 7, 2026</x:v>
      </x:c>
      <x:c r="H384" s="13" t="str">
        <x:v>-</x:v>
      </x:c>
      <x:c r="I384" s="13" t="str">
        <x:v>Synthetic example: one party is a government office/official acting in official capacity; mark non-KP.</x:v>
      </x:c>
      <x:c r="J384" s="13" t="str">
        <x:v>Refer</x:v>
      </x:c>
      <x:c r="K384" s="13" t="str">
        <x:v>NON_KP_REFERRAL</x:v>
      </x:c>
      <x:c r="L384" s="13" t="str">
        <x:v>Not KP; government party disqualification</x:v>
      </x:c>
      <x:c r="M384" s="13" t="str">
        <x:v>Refer/route to proper government grievance, administrative, or legal office</x:v>
      </x:c>
      <x:c r="N384" s="13" t="str">
        <x:v>KP does not apply when a government office/entity is a party.</x:v>
      </x:c>
      <x:c r="O384" s="13" t="str"/>
      <x:c r="P384" s="13" t="str">
        <x:v>Reklamo laban sa public market administration office</x:v>
      </x:c>
      <x:c r="Q384" s="13" t="str">
        <x:v>Added to balance 'government-party' to 49 examples using the same Justice KP label schema.</x:v>
      </x:c>
      <x:c r="R384" s="13" t="str">
        <x:v>Synthetic row based on category coverage gap from uploaded PDF</x:v>
      </x:c>
    </x:row>
    <x:row r="385" ht="36" customHeight="1">
      <x:c r="A385" s="13" t="str">
        <x:v>SYN-GOV-041</x:v>
      </x:c>
      <x:c r="B385" s="13" t="str">
        <x:v>government-party</x:v>
      </x:c>
      <x:c r="C385" s="13" t="str">
        <x:v>Synthetic</x:v>
      </x:c>
      <x:c r="D385" s="13" t="str"/>
      <x:c r="E385" s="13" t="str">
        <x:v>Disqualified</x:v>
      </x:c>
      <x:c r="F385" s="13" t="str">
        <x:v>Reklamo laban sa city engineering office tungkol sa proyekto</x:v>
      </x:c>
      <x:c r="G385" s="13" t="str">
        <x:v>May 10, 2026</x:v>
      </x:c>
      <x:c r="H385" s="13" t="str">
        <x:v>-</x:v>
      </x:c>
      <x:c r="I385" s="13" t="str">
        <x:v>Synthetic example: one party is a government office/official acting in official capacity; mark non-KP.</x:v>
      </x:c>
      <x:c r="J385" s="13" t="str">
        <x:v>Refer</x:v>
      </x:c>
      <x:c r="K385" s="13" t="str">
        <x:v>NON_KP_REFERRAL</x:v>
      </x:c>
      <x:c r="L385" s="13" t="str">
        <x:v>Not KP; government party disqualification</x:v>
      </x:c>
      <x:c r="M385" s="13" t="str">
        <x:v>Refer/route to proper government grievance, administrative, or legal office</x:v>
      </x:c>
      <x:c r="N385" s="13" t="str">
        <x:v>KP does not apply when a government office/entity is a party.</x:v>
      </x:c>
      <x:c r="O385" s="13" t="str"/>
      <x:c r="P385" s="13" t="str">
        <x:v>Reklamo laban sa city engineering office tungkol sa proyekto</x:v>
      </x:c>
      <x:c r="Q385" s="13" t="str">
        <x:v>Added to balance 'government-party' to 49 examples using the same Justice KP label schema.</x:v>
      </x:c>
      <x:c r="R385" s="13" t="str">
        <x:v>Synthetic row based on category coverage gap from uploaded PDF</x:v>
      </x:c>
    </x:row>
    <x:row r="386" ht="36" customHeight="1">
      <x:c r="A386" s="13" t="str">
        <x:v>SYN-GOV-042</x:v>
      </x:c>
      <x:c r="B386" s="13" t="str">
        <x:v>government-party</x:v>
      </x:c>
      <x:c r="C386" s="13" t="str">
        <x:v>Synthetic</x:v>
      </x:c>
      <x:c r="D386" s="13" t="str"/>
      <x:c r="E386" s="13" t="str">
        <x:v>Disqualified</x:v>
      </x:c>
      <x:c r="F386" s="13" t="str">
        <x:v>Usapin kung saan ang respondent ay municipal government unit</x:v>
      </x:c>
      <x:c r="G386" s="13" t="str">
        <x:v>May 13, 2026</x:v>
      </x:c>
      <x:c r="H386" s="13" t="str">
        <x:v>-</x:v>
      </x:c>
      <x:c r="I386" s="13" t="str">
        <x:v>Synthetic example: one party is a government office/official acting in official capacity; mark non-KP.</x:v>
      </x:c>
      <x:c r="J386" s="13" t="str">
        <x:v>Refer</x:v>
      </x:c>
      <x:c r="K386" s="13" t="str">
        <x:v>NON_KP_REFERRAL</x:v>
      </x:c>
      <x:c r="L386" s="13" t="str">
        <x:v>Not KP; government party disqualification</x:v>
      </x:c>
      <x:c r="M386" s="13" t="str">
        <x:v>Refer/route to proper government grievance, administrative, or legal office</x:v>
      </x:c>
      <x:c r="N386" s="13" t="str">
        <x:v>KP does not apply when a government office/entity is a party.</x:v>
      </x:c>
      <x:c r="O386" s="13" t="str"/>
      <x:c r="P386" s="13" t="str">
        <x:v>Usapin kung saan ang respondent ay municipal government unit</x:v>
      </x:c>
      <x:c r="Q386" s="13" t="str">
        <x:v>Added to balance 'government-party' to 49 examples using the same Justice KP label schema.</x:v>
      </x:c>
      <x:c r="R386" s="13" t="str">
        <x:v>Synthetic row based on category coverage gap from uploaded PDF</x:v>
      </x:c>
    </x:row>
    <x:row r="387" ht="36" customHeight="1">
      <x:c r="A387" s="13" t="str">
        <x:v>SYN-GOV-043</x:v>
      </x:c>
      <x:c r="B387" s="13" t="str">
        <x:v>government-party</x:v>
      </x:c>
      <x:c r="C387" s="13" t="str">
        <x:v>Synthetic</x:v>
      </x:c>
      <x:c r="D387" s="13" t="str"/>
      <x:c r="E387" s="13" t="str">
        <x:v>Disqualified</x:v>
      </x:c>
      <x:c r="F387" s="13" t="str">
        <x:v>Reklamo laban sa barangay official kaugnay ng official duty</x:v>
      </x:c>
      <x:c r="G387" s="13" t="str">
        <x:v>May 16, 2026</x:v>
      </x:c>
      <x:c r="H387" s="13" t="str">
        <x:v>-</x:v>
      </x:c>
      <x:c r="I387" s="13" t="str">
        <x:v>Synthetic example: one party is a government office/official acting in official capacity; mark non-KP.</x:v>
      </x:c>
      <x:c r="J387" s="13" t="str">
        <x:v>Refer</x:v>
      </x:c>
      <x:c r="K387" s="13" t="str">
        <x:v>NON_KP_REFERRAL</x:v>
      </x:c>
      <x:c r="L387" s="13" t="str">
        <x:v>Not KP; government party disqualification</x:v>
      </x:c>
      <x:c r="M387" s="13" t="str">
        <x:v>Refer/route to proper government grievance, administrative, or legal office</x:v>
      </x:c>
      <x:c r="N387" s="13" t="str">
        <x:v>KP does not apply when a government office/entity is a party.</x:v>
      </x:c>
      <x:c r="O387" s="13" t="str"/>
      <x:c r="P387" s="13" t="str">
        <x:v>Reklamo laban sa barangay official kaugnay ng official duty</x:v>
      </x:c>
      <x:c r="Q387" s="13" t="str">
        <x:v>Added to balance 'government-party' to 49 examples using the same Justice KP label schema.</x:v>
      </x:c>
      <x:c r="R387" s="13" t="str">
        <x:v>Synthetic row based on category coverage gap from uploaded PDF</x:v>
      </x:c>
    </x:row>
    <x:row r="388" ht="36" customHeight="1">
      <x:c r="A388" s="13" t="str">
        <x:v>SYN-GOV-044</x:v>
      </x:c>
      <x:c r="B388" s="13" t="str">
        <x:v>government-party</x:v>
      </x:c>
      <x:c r="C388" s="13" t="str">
        <x:v>Synthetic</x:v>
      </x:c>
      <x:c r="D388" s="13" t="str"/>
      <x:c r="E388" s="13" t="str">
        <x:v>Disqualified</x:v>
      </x:c>
      <x:c r="F388" s="13" t="str">
        <x:v>Dispute laban sa public school office bilang party</x:v>
      </x:c>
      <x:c r="G388" s="13" t="str">
        <x:v>May 19, 2026</x:v>
      </x:c>
      <x:c r="H388" s="13" t="str">
        <x:v>-</x:v>
      </x:c>
      <x:c r="I388" s="13" t="str">
        <x:v>Synthetic example: one party is a government office/official acting in official capacity; mark non-KP.</x:v>
      </x:c>
      <x:c r="J388" s="13" t="str">
        <x:v>Refer</x:v>
      </x:c>
      <x:c r="K388" s="13" t="str">
        <x:v>NON_KP_REFERRAL</x:v>
      </x:c>
      <x:c r="L388" s="13" t="str">
        <x:v>Not KP; government party disqualification</x:v>
      </x:c>
      <x:c r="M388" s="13" t="str">
        <x:v>Refer/route to proper government grievance, administrative, or legal office</x:v>
      </x:c>
      <x:c r="N388" s="13" t="str">
        <x:v>KP does not apply when a government office/entity is a party.</x:v>
      </x:c>
      <x:c r="O388" s="13" t="str"/>
      <x:c r="P388" s="13" t="str">
        <x:v>Dispute laban sa public school office bilang party</x:v>
      </x:c>
      <x:c r="Q388" s="13" t="str">
        <x:v>Added to balance 'government-party' to 49 examples using the same Justice KP label schema.</x:v>
      </x:c>
      <x:c r="R388" s="13" t="str">
        <x:v>Synthetic row based on category coverage gap from uploaded PDF</x:v>
      </x:c>
    </x:row>
    <x:row r="389" ht="36" customHeight="1">
      <x:c r="A389" s="13" t="str">
        <x:v>SYN-GOV-045</x:v>
      </x:c>
      <x:c r="B389" s="13" t="str">
        <x:v>government-party</x:v>
      </x:c>
      <x:c r="C389" s="13" t="str">
        <x:v>Synthetic</x:v>
      </x:c>
      <x:c r="D389" s="13" t="str"/>
      <x:c r="E389" s="13" t="str">
        <x:v>Disqualified</x:v>
      </x:c>
      <x:c r="F389" s="13" t="str">
        <x:v>Reklamo sa water district na government-controlled utility</x:v>
      </x:c>
      <x:c r="G389" s="13" t="str">
        <x:v>May 22, 2026</x:v>
      </x:c>
      <x:c r="H389" s="13" t="str">
        <x:v>-</x:v>
      </x:c>
      <x:c r="I389" s="13" t="str">
        <x:v>Synthetic example: one party is a government office/official acting in official capacity; mark non-KP.</x:v>
      </x:c>
      <x:c r="J389" s="13" t="str">
        <x:v>Refer</x:v>
      </x:c>
      <x:c r="K389" s="13" t="str">
        <x:v>NON_KP_REFERRAL</x:v>
      </x:c>
      <x:c r="L389" s="13" t="str">
        <x:v>Not KP; government party disqualification</x:v>
      </x:c>
      <x:c r="M389" s="13" t="str">
        <x:v>Refer/route to proper government grievance, administrative, or legal office</x:v>
      </x:c>
      <x:c r="N389" s="13" t="str">
        <x:v>KP does not apply when a government office/entity is a party.</x:v>
      </x:c>
      <x:c r="O389" s="13" t="str"/>
      <x:c r="P389" s="13" t="str">
        <x:v>Reklamo sa water district na government-controlled utility</x:v>
      </x:c>
      <x:c r="Q389" s="13" t="str">
        <x:v>Added to balance 'government-party' to 49 examples using the same Justice KP label schema.</x:v>
      </x:c>
      <x:c r="R389" s="13" t="str">
        <x:v>Synthetic row based on category coverage gap from uploaded PDF</x:v>
      </x:c>
    </x:row>
    <x:row r="390" ht="36" customHeight="1">
      <x:c r="A390" s="13" t="str">
        <x:v>SYN-GOV-046</x:v>
      </x:c>
      <x:c r="B390" s="13" t="str">
        <x:v>government-party</x:v>
      </x:c>
      <x:c r="C390" s="13" t="str">
        <x:v>Synthetic</x:v>
      </x:c>
      <x:c r="D390" s="13" t="str"/>
      <x:c r="E390" s="13" t="str">
        <x:v>Disqualified</x:v>
      </x:c>
      <x:c r="F390" s="13" t="str">
        <x:v>Reklamo laban sa police officer kaugnay ng opisyal na tungkulin</x:v>
      </x:c>
      <x:c r="G390" s="13" t="str">
        <x:v>May 25, 2026</x:v>
      </x:c>
      <x:c r="H390" s="13" t="str">
        <x:v>-</x:v>
      </x:c>
      <x:c r="I390" s="13" t="str">
        <x:v>Synthetic example: one party is a government office/official acting in official capacity; mark non-KP.</x:v>
      </x:c>
      <x:c r="J390" s="13" t="str">
        <x:v>Refer</x:v>
      </x:c>
      <x:c r="K390" s="13" t="str">
        <x:v>NON_KP_REFERRAL</x:v>
      </x:c>
      <x:c r="L390" s="13" t="str">
        <x:v>Not KP; government party disqualification</x:v>
      </x:c>
      <x:c r="M390" s="13" t="str">
        <x:v>Refer/route to proper government grievance, administrative, or legal office</x:v>
      </x:c>
      <x:c r="N390" s="13" t="str">
        <x:v>KP does not apply when a government office/entity is a party.</x:v>
      </x:c>
      <x:c r="O390" s="13" t="str"/>
      <x:c r="P390" s="13" t="str">
        <x:v>Reklamo laban sa police officer kaugnay ng opisyal na tungkulin</x:v>
      </x:c>
      <x:c r="Q390" s="13" t="str">
        <x:v>Added to balance 'government-party' to 49 examples using the same Justice KP label schema.</x:v>
      </x:c>
      <x:c r="R390" s="13" t="str">
        <x:v>Synthetic row based on category coverage gap from uploaded PDF</x:v>
      </x:c>
    </x:row>
    <x:row r="391" ht="36" customHeight="1">
      <x:c r="A391" s="13" t="str">
        <x:v>SYN-GOV-047</x:v>
      </x:c>
      <x:c r="B391" s="13" t="str">
        <x:v>government-party</x:v>
      </x:c>
      <x:c r="C391" s="13" t="str">
        <x:v>Synthetic</x:v>
      </x:c>
      <x:c r="D391" s="13" t="str"/>
      <x:c r="E391" s="13" t="str">
        <x:v>Disqualified</x:v>
      </x:c>
      <x:c r="F391" s="13" t="str">
        <x:v>Usapin sa provincial office bilang respondent</x:v>
      </x:c>
      <x:c r="G391" s="13" t="str">
        <x:v>May 28, 2026</x:v>
      </x:c>
      <x:c r="H391" s="13" t="str">
        <x:v>-</x:v>
      </x:c>
      <x:c r="I391" s="13" t="str">
        <x:v>Synthetic example: one party is a government office/official acting in official capacity; mark non-KP.</x:v>
      </x:c>
      <x:c r="J391" s="13" t="str">
        <x:v>Refer</x:v>
      </x:c>
      <x:c r="K391" s="13" t="str">
        <x:v>NON_KP_REFERRAL</x:v>
      </x:c>
      <x:c r="L391" s="13" t="str">
        <x:v>Not KP; government party disqualification</x:v>
      </x:c>
      <x:c r="M391" s="13" t="str">
        <x:v>Refer/route to proper government grievance, administrative, or legal office</x:v>
      </x:c>
      <x:c r="N391" s="13" t="str">
        <x:v>KP does not apply when a government office/entity is a party.</x:v>
      </x:c>
      <x:c r="O391" s="13" t="str"/>
      <x:c r="P391" s="13" t="str">
        <x:v>Usapin sa provincial office bilang respondent</x:v>
      </x:c>
      <x:c r="Q391" s="13" t="str">
        <x:v>Added to balance 'government-party' to 49 examples using the same Justice KP label schema.</x:v>
      </x:c>
      <x:c r="R391" s="13" t="str">
        <x:v>Synthetic row based on category coverage gap from uploaded PDF</x:v>
      </x:c>
    </x:row>
    <x:row r="392" ht="36" customHeight="1">
      <x:c r="A392" s="13" t="str">
        <x:v>SYN-GOV-048</x:v>
      </x:c>
      <x:c r="B392" s="13" t="str">
        <x:v>government-party</x:v>
      </x:c>
      <x:c r="C392" s="13" t="str">
        <x:v>Synthetic</x:v>
      </x:c>
      <x:c r="D392" s="13" t="str"/>
      <x:c r="E392" s="13" t="str">
        <x:v>Disqualified</x:v>
      </x:c>
      <x:c r="F392" s="13" t="str">
        <x:v>Reklamo laban sa government hospital billing office</x:v>
      </x:c>
      <x:c r="G392" s="13" t="str">
        <x:v>May 31, 2026</x:v>
      </x:c>
      <x:c r="H392" s="13" t="str">
        <x:v>-</x:v>
      </x:c>
      <x:c r="I392" s="13" t="str">
        <x:v>Synthetic example: one party is a government office/official acting in official capacity; mark non-KP.</x:v>
      </x:c>
      <x:c r="J392" s="13" t="str">
        <x:v>Refer</x:v>
      </x:c>
      <x:c r="K392" s="13" t="str">
        <x:v>NON_KP_REFERRAL</x:v>
      </x:c>
      <x:c r="L392" s="13" t="str">
        <x:v>Not KP; government party disqualification</x:v>
      </x:c>
      <x:c r="M392" s="13" t="str">
        <x:v>Refer/route to proper government grievance, administrative, or legal office</x:v>
      </x:c>
      <x:c r="N392" s="13" t="str">
        <x:v>KP does not apply when a government office/entity is a party.</x:v>
      </x:c>
      <x:c r="O392" s="13" t="str"/>
      <x:c r="P392" s="13" t="str">
        <x:v>Reklamo laban sa government hospital billing office</x:v>
      </x:c>
      <x:c r="Q392" s="13" t="str">
        <x:v>Added to balance 'government-party' to 49 examples using the same Justice KP label schema.</x:v>
      </x:c>
      <x:c r="R392" s="13" t="str">
        <x:v>Synthetic row based on category coverage gap from uploaded PDF</x:v>
      </x:c>
    </x:row>
    <x:row r="393" ht="36" customHeight="1">
      <x:c r="A393" s="13" t="str">
        <x:v>SYN-GOV-049</x:v>
      </x:c>
      <x:c r="B393" s="13" t="str">
        <x:v>government-party</x:v>
      </x:c>
      <x:c r="C393" s="13" t="str">
        <x:v>Synthetic</x:v>
      </x:c>
      <x:c r="D393" s="13" t="str"/>
      <x:c r="E393" s="13" t="str">
        <x:v>Disqualified</x:v>
      </x:c>
      <x:c r="F393" s="13" t="str">
        <x:v>Dispute sa road-clearing action ng municipal office</x:v>
      </x:c>
      <x:c r="G393" s="13" t="str">
        <x:v>June 3, 2026</x:v>
      </x:c>
      <x:c r="H393" s="13" t="str">
        <x:v>-</x:v>
      </x:c>
      <x:c r="I393" s="13" t="str">
        <x:v>Synthetic example: one party is a government office/official acting in official capacity; mark non-KP.</x:v>
      </x:c>
      <x:c r="J393" s="13" t="str">
        <x:v>Refer</x:v>
      </x:c>
      <x:c r="K393" s="13" t="str">
        <x:v>NON_KP_REFERRAL</x:v>
      </x:c>
      <x:c r="L393" s="13" t="str">
        <x:v>Not KP; government party disqualification</x:v>
      </x:c>
      <x:c r="M393" s="13" t="str">
        <x:v>Refer/route to proper government grievance, administrative, or legal office</x:v>
      </x:c>
      <x:c r="N393" s="13" t="str">
        <x:v>KP does not apply when a government office/entity is a party.</x:v>
      </x:c>
      <x:c r="O393" s="13" t="str"/>
      <x:c r="P393" s="13" t="str">
        <x:v>Dispute sa road-clearing action ng municipal office</x:v>
      </x:c>
      <x:c r="Q393" s="13" t="str">
        <x:v>Added to balance 'government-party' to 49 examples using the same Justice KP label schema.</x:v>
      </x:c>
      <x:c r="R393" s="13" t="str">
        <x:v>Synthetic row based on category coverage gap from uploaded PDF</x:v>
      </x:c>
    </x:row>
    <x:row r="394" ht="36" customHeight="1">
      <x:c r="A394" s="13" t="str">
        <x:v>SYN-COURT-001</x:v>
      </x:c>
      <x:c r="B394" s="13" t="str">
        <x:v>already-filed-in-court</x:v>
      </x:c>
      <x:c r="C394" s="13" t="str">
        <x:v>Synthetic</x:v>
      </x:c>
      <x:c r="D394" s="13" t="str"/>
      <x:c r="E394" s="13" t="str">
        <x:v>Disqualified</x:v>
      </x:c>
      <x:c r="F394" s="13" t="str">
        <x:v>Utang na may pending small claims case sa korte</x:v>
      </x:c>
      <x:c r="G394" s="13" t="str">
        <x:v>January 11, 2026</x:v>
      </x:c>
      <x:c r="H394" s="13" t="str">
        <x:v>-</x:v>
      </x:c>
      <x:c r="I394" s="13" t="str">
        <x:v>Synthetic example: complaint indicates an existing court/prosecutor filing; barangay should not mediate as new KP case.</x:v>
      </x:c>
      <x:c r="J394" s="13" t="str">
        <x:v>Refer</x:v>
      </x:c>
      <x:c r="K394" s="13" t="str">
        <x:v>NON_KP_REFERRAL</x:v>
      </x:c>
      <x:c r="L394" s="13" t="str">
        <x:v>Not KP; already filed in court/prosecutor</x:v>
      </x:c>
      <x:c r="M394" s="13" t="str">
        <x:v>Do not docket as new KP mediation; note existing case and refer to court/prosecutor process</x:v>
      </x:c>
      <x:c r="N394" s="13" t="str">
        <x:v>Matter already filed in court/prosecutor is outside barangay conciliation.</x:v>
      </x:c>
      <x:c r="O394" s="13" t="str"/>
      <x:c r="P394" s="13" t="str">
        <x:v>Utang na may pending small claims case sa korte</x:v>
      </x:c>
      <x:c r="Q394" s="13" t="str">
        <x:v>Added to balance 'already-filed-in-court' to 49 examples using the same Justice KP label schema.</x:v>
      </x:c>
      <x:c r="R394" s="13" t="str">
        <x:v>Synthetic row based on category coverage gap from uploaded PDF</x:v>
      </x:c>
    </x:row>
    <x:row r="395" ht="36" customHeight="1">
      <x:c r="A395" s="13" t="str">
        <x:v>SYN-COURT-002</x:v>
      </x:c>
      <x:c r="B395" s="13" t="str">
        <x:v>already-filed-in-court</x:v>
      </x:c>
      <x:c r="C395" s="13" t="str">
        <x:v>Synthetic</x:v>
      </x:c>
      <x:c r="D395" s="13" t="str"/>
      <x:c r="E395" s="13" t="str">
        <x:v>Disqualified</x:v>
      </x:c>
      <x:c r="F395" s="13" t="str">
        <x:v>Alitan sa lupa na naihain na sa RTC</x:v>
      </x:c>
      <x:c r="G395" s="13" t="str">
        <x:v>January 14, 2026</x:v>
      </x:c>
      <x:c r="H395" s="13" t="str">
        <x:v>-</x:v>
      </x:c>
      <x:c r="I395" s="13" t="str">
        <x:v>Synthetic example: complaint indicates an existing court/prosecutor filing; barangay should not mediate as new KP case.</x:v>
      </x:c>
      <x:c r="J395" s="13" t="str">
        <x:v>Refer</x:v>
      </x:c>
      <x:c r="K395" s="13" t="str">
        <x:v>NON_KP_REFERRAL</x:v>
      </x:c>
      <x:c r="L395" s="13" t="str">
        <x:v>Not KP; already filed in court/prosecutor</x:v>
      </x:c>
      <x:c r="M395" s="13" t="str">
        <x:v>Do not docket as new KP mediation; note existing case and refer to court/prosecutor process</x:v>
      </x:c>
      <x:c r="N395" s="13" t="str">
        <x:v>Matter already filed in court/prosecutor is outside barangay conciliation.</x:v>
      </x:c>
      <x:c r="O395" s="13" t="str"/>
      <x:c r="P395" s="13" t="str">
        <x:v>Alitan sa lupa na naihain na sa RTC</x:v>
      </x:c>
      <x:c r="Q395" s="13" t="str">
        <x:v>Added to balance 'already-filed-in-court' to 49 examples using the same Justice KP label schema.</x:v>
      </x:c>
      <x:c r="R395" s="13" t="str">
        <x:v>Synthetic row based on category coverage gap from uploaded PDF</x:v>
      </x:c>
    </x:row>
    <x:row r="396" ht="36" customHeight="1">
      <x:c r="A396" s="13" t="str">
        <x:v>SYN-COURT-003</x:v>
      </x:c>
      <x:c r="B396" s="13" t="str">
        <x:v>already-filed-in-court</x:v>
      </x:c>
      <x:c r="C396" s="13" t="str">
        <x:v>Synthetic</x:v>
      </x:c>
      <x:c r="D396" s="13" t="str"/>
      <x:c r="E396" s="13" t="str">
        <x:v>Disqualified</x:v>
      </x:c>
      <x:c r="F396" s="13" t="str">
        <x:v>Pananakit na may criminal complaint na sa prosecutor</x:v>
      </x:c>
      <x:c r="G396" s="13" t="str">
        <x:v>January 17, 2026</x:v>
      </x:c>
      <x:c r="H396" s="13" t="str">
        <x:v>-</x:v>
      </x:c>
      <x:c r="I396" s="13" t="str">
        <x:v>Synthetic example: complaint indicates an existing court/prosecutor filing; barangay should not mediate as new KP case.</x:v>
      </x:c>
      <x:c r="J396" s="13" t="str">
        <x:v>Refer</x:v>
      </x:c>
      <x:c r="K396" s="13" t="str">
        <x:v>NON_KP_REFERRAL</x:v>
      </x:c>
      <x:c r="L396" s="13" t="str">
        <x:v>Not KP; already filed in court/prosecutor</x:v>
      </x:c>
      <x:c r="M396" s="13" t="str">
        <x:v>Do not docket as new KP mediation; note existing case and refer to court/prosecutor process</x:v>
      </x:c>
      <x:c r="N396" s="13" t="str">
        <x:v>Matter already filed in court/prosecutor is outside barangay conciliation.</x:v>
      </x:c>
      <x:c r="O396" s="13" t="str"/>
      <x:c r="P396" s="13" t="str">
        <x:v>Pananakit na may criminal complaint na sa prosecutor</x:v>
      </x:c>
      <x:c r="Q396" s="13" t="str">
        <x:v>Added to balance 'already-filed-in-court' to 49 examples using the same Justice KP label schema.</x:v>
      </x:c>
      <x:c r="R396" s="13" t="str">
        <x:v>Synthetic row based on category coverage gap from uploaded PDF</x:v>
      </x:c>
    </x:row>
    <x:row r="397" ht="36" customHeight="1">
      <x:c r="A397" s="13" t="str">
        <x:v>SYN-COURT-004</x:v>
      </x:c>
      <x:c r="B397" s="13" t="str">
        <x:v>already-filed-in-court</x:v>
      </x:c>
      <x:c r="C397" s="13" t="str">
        <x:v>Synthetic</x:v>
      </x:c>
      <x:c r="D397" s="13" t="str"/>
      <x:c r="E397" s="13" t="str">
        <x:v>Disqualified</x:v>
      </x:c>
      <x:c r="F397" s="13" t="str">
        <x:v>Boundary dispute na may nakabinbing civil case</x:v>
      </x:c>
      <x:c r="G397" s="13" t="str">
        <x:v>January 20, 2026</x:v>
      </x:c>
      <x:c r="H397" s="13" t="str">
        <x:v>-</x:v>
      </x:c>
      <x:c r="I397" s="13" t="str">
        <x:v>Synthetic example: complaint indicates an existing court/prosecutor filing; barangay should not mediate as new KP case.</x:v>
      </x:c>
      <x:c r="J397" s="13" t="str">
        <x:v>Refer</x:v>
      </x:c>
      <x:c r="K397" s="13" t="str">
        <x:v>NON_KP_REFERRAL</x:v>
      </x:c>
      <x:c r="L397" s="13" t="str">
        <x:v>Not KP; already filed in court/prosecutor</x:v>
      </x:c>
      <x:c r="M397" s="13" t="str">
        <x:v>Do not docket as new KP mediation; note existing case and refer to court/prosecutor process</x:v>
      </x:c>
      <x:c r="N397" s="13" t="str">
        <x:v>Matter already filed in court/prosecutor is outside barangay conciliation.</x:v>
      </x:c>
      <x:c r="O397" s="13" t="str"/>
      <x:c r="P397" s="13" t="str">
        <x:v>Boundary dispute na may nakabinbing civil case</x:v>
      </x:c>
      <x:c r="Q397" s="13" t="str">
        <x:v>Added to balance 'already-filed-in-court' to 49 examples using the same Justice KP label schema.</x:v>
      </x:c>
      <x:c r="R397" s="13" t="str">
        <x:v>Synthetic row based on category coverage gap from uploaded PDF</x:v>
      </x:c>
    </x:row>
    <x:row r="398" ht="36" customHeight="1">
      <x:c r="A398" s="13" t="str">
        <x:v>SYN-COURT-005</x:v>
      </x:c>
      <x:c r="B398" s="13" t="str">
        <x:v>already-filed-in-court</x:v>
      </x:c>
      <x:c r="C398" s="13" t="str">
        <x:v>Synthetic</x:v>
      </x:c>
      <x:c r="D398" s="13" t="str"/>
      <x:c r="E398" s="13" t="str">
        <x:v>Disqualified</x:v>
      </x:c>
      <x:c r="F398" s="13" t="str">
        <x:v>Threat complaint na may docket number na sa korte</x:v>
      </x:c>
      <x:c r="G398" s="13" t="str">
        <x:v>January 23, 2026</x:v>
      </x:c>
      <x:c r="H398" s="13" t="str">
        <x:v>-</x:v>
      </x:c>
      <x:c r="I398" s="13" t="str">
        <x:v>Synthetic example: complaint indicates an existing court/prosecutor filing; barangay should not mediate as new KP case.</x:v>
      </x:c>
      <x:c r="J398" s="13" t="str">
        <x:v>Refer</x:v>
      </x:c>
      <x:c r="K398" s="13" t="str">
        <x:v>NON_KP_REFERRAL</x:v>
      </x:c>
      <x:c r="L398" s="13" t="str">
        <x:v>Not KP; already filed in court/prosecutor</x:v>
      </x:c>
      <x:c r="M398" s="13" t="str">
        <x:v>Do not docket as new KP mediation; note existing case and refer to court/prosecutor process</x:v>
      </x:c>
      <x:c r="N398" s="13" t="str">
        <x:v>Matter already filed in court/prosecutor is outside barangay conciliation.</x:v>
      </x:c>
      <x:c r="O398" s="13" t="str"/>
      <x:c r="P398" s="13" t="str">
        <x:v>Threat complaint na may docket number na sa korte</x:v>
      </x:c>
      <x:c r="Q398" s="13" t="str">
        <x:v>Added to balance 'already-filed-in-court' to 49 examples using the same Justice KP label schema.</x:v>
      </x:c>
      <x:c r="R398" s="13" t="str">
        <x:v>Synthetic row based on category coverage gap from uploaded PDF</x:v>
      </x:c>
    </x:row>
    <x:row r="399" ht="36" customHeight="1">
      <x:c r="A399" s="13" t="str">
        <x:v>SYN-COURT-006</x:v>
      </x:c>
      <x:c r="B399" s="13" t="str">
        <x:v>already-filed-in-court</x:v>
      </x:c>
      <x:c r="C399" s="13" t="str">
        <x:v>Synthetic</x:v>
      </x:c>
      <x:c r="D399" s="13" t="str"/>
      <x:c r="E399" s="13" t="str">
        <x:v>Disqualified</x:v>
      </x:c>
      <x:c r="F399" s="13" t="str">
        <x:v>Renta dispute na nasa small claims na</x:v>
      </x:c>
      <x:c r="G399" s="13" t="str">
        <x:v>January 26, 2026</x:v>
      </x:c>
      <x:c r="H399" s="13" t="str">
        <x:v>-</x:v>
      </x:c>
      <x:c r="I399" s="13" t="str">
        <x:v>Synthetic example: complaint indicates an existing court/prosecutor filing; barangay should not mediate as new KP case.</x:v>
      </x:c>
      <x:c r="J399" s="13" t="str">
        <x:v>Refer</x:v>
      </x:c>
      <x:c r="K399" s="13" t="str">
        <x:v>NON_KP_REFERRAL</x:v>
      </x:c>
      <x:c r="L399" s="13" t="str">
        <x:v>Not KP; already filed in court/prosecutor</x:v>
      </x:c>
      <x:c r="M399" s="13" t="str">
        <x:v>Do not docket as new KP mediation; note existing case and refer to court/prosecutor process</x:v>
      </x:c>
      <x:c r="N399" s="13" t="str">
        <x:v>Matter already filed in court/prosecutor is outside barangay conciliation.</x:v>
      </x:c>
      <x:c r="O399" s="13" t="str"/>
      <x:c r="P399" s="13" t="str">
        <x:v>Renta dispute na nasa small claims na</x:v>
      </x:c>
      <x:c r="Q399" s="13" t="str">
        <x:v>Added to balance 'already-filed-in-court' to 49 examples using the same Justice KP label schema.</x:v>
      </x:c>
      <x:c r="R399" s="13" t="str">
        <x:v>Synthetic row based on category coverage gap from uploaded PDF</x:v>
      </x:c>
    </x:row>
    <x:row r="400" ht="36" customHeight="1">
      <x:c r="A400" s="13" t="str">
        <x:v>SYN-COURT-007</x:v>
      </x:c>
      <x:c r="B400" s="13" t="str">
        <x:v>already-filed-in-court</x:v>
      </x:c>
      <x:c r="C400" s="13" t="str">
        <x:v>Synthetic</x:v>
      </x:c>
      <x:c r="D400" s="13" t="str"/>
      <x:c r="E400" s="13" t="str">
        <x:v>Disqualified</x:v>
      </x:c>
      <x:c r="F400" s="13" t="str">
        <x:v>Property dispute na may pending injunction case</x:v>
      </x:c>
      <x:c r="G400" s="13" t="str">
        <x:v>January 29, 2026</x:v>
      </x:c>
      <x:c r="H400" s="13" t="str">
        <x:v>-</x:v>
      </x:c>
      <x:c r="I400" s="13" t="str">
        <x:v>Synthetic example: complaint indicates an existing court/prosecutor filing; barangay should not mediate as new KP case.</x:v>
      </x:c>
      <x:c r="J400" s="13" t="str">
        <x:v>Refer</x:v>
      </x:c>
      <x:c r="K400" s="13" t="str">
        <x:v>NON_KP_REFERRAL</x:v>
      </x:c>
      <x:c r="L400" s="13" t="str">
        <x:v>Not KP; already filed in court/prosecutor</x:v>
      </x:c>
      <x:c r="M400" s="13" t="str">
        <x:v>Do not docket as new KP mediation; note existing case and refer to court/prosecutor process</x:v>
      </x:c>
      <x:c r="N400" s="13" t="str">
        <x:v>Matter already filed in court/prosecutor is outside barangay conciliation.</x:v>
      </x:c>
      <x:c r="O400" s="13" t="str"/>
      <x:c r="P400" s="13" t="str">
        <x:v>Property dispute na may pending injunction case</x:v>
      </x:c>
      <x:c r="Q400" s="13" t="str">
        <x:v>Added to balance 'already-filed-in-court' to 49 examples using the same Justice KP label schema.</x:v>
      </x:c>
      <x:c r="R400" s="13" t="str">
        <x:v>Synthetic row based on category coverage gap from uploaded PDF</x:v>
      </x:c>
    </x:row>
    <x:row r="401" ht="36" customHeight="1">
      <x:c r="A401" s="13" t="str">
        <x:v>SYN-COURT-008</x:v>
      </x:c>
      <x:c r="B401" s="13" t="str">
        <x:v>already-filed-in-court</x:v>
      </x:c>
      <x:c r="C401" s="13" t="str">
        <x:v>Synthetic</x:v>
      </x:c>
      <x:c r="D401" s="13" t="str"/>
      <x:c r="E401" s="13" t="str">
        <x:v>Disqualified</x:v>
      </x:c>
      <x:c r="F401" s="13" t="str">
        <x:v>Defamation complaint na na-file na sa prosecutor</x:v>
      </x:c>
      <x:c r="G401" s="13" t="str">
        <x:v>February 1, 2026</x:v>
      </x:c>
      <x:c r="H401" s="13" t="str">
        <x:v>-</x:v>
      </x:c>
      <x:c r="I401" s="13" t="str">
        <x:v>Synthetic example: complaint indicates an existing court/prosecutor filing; barangay should not mediate as new KP case.</x:v>
      </x:c>
      <x:c r="J401" s="13" t="str">
        <x:v>Refer</x:v>
      </x:c>
      <x:c r="K401" s="13" t="str">
        <x:v>NON_KP_REFERRAL</x:v>
      </x:c>
      <x:c r="L401" s="13" t="str">
        <x:v>Not KP; already filed in court/prosecutor</x:v>
      </x:c>
      <x:c r="M401" s="13" t="str">
        <x:v>Do not docket as new KP mediation; note existing case and refer to court/prosecutor process</x:v>
      </x:c>
      <x:c r="N401" s="13" t="str">
        <x:v>Matter already filed in court/prosecutor is outside barangay conciliation.</x:v>
      </x:c>
      <x:c r="O401" s="13" t="str"/>
      <x:c r="P401" s="13" t="str">
        <x:v>Defamation complaint na na-file na sa prosecutor</x:v>
      </x:c>
      <x:c r="Q401" s="13" t="str">
        <x:v>Added to balance 'already-filed-in-court' to 49 examples using the same Justice KP label schema.</x:v>
      </x:c>
      <x:c r="R401" s="13" t="str">
        <x:v>Synthetic row based on category coverage gap from uploaded PDF</x:v>
      </x:c>
    </x:row>
    <x:row r="402" ht="36" customHeight="1">
      <x:c r="A402" s="13" t="str">
        <x:v>SYN-COURT-009</x:v>
      </x:c>
      <x:c r="B402" s="13" t="str">
        <x:v>already-filed-in-court</x:v>
      </x:c>
      <x:c r="C402" s="13" t="str">
        <x:v>Synthetic</x:v>
      </x:c>
      <x:c r="D402" s="13" t="str"/>
      <x:c r="E402" s="13" t="str">
        <x:v>Disqualified</x:v>
      </x:c>
      <x:c r="F402" s="13" t="str">
        <x:v>Collection case na may scheduled court hearing</x:v>
      </x:c>
      <x:c r="G402" s="13" t="str">
        <x:v>February 4, 2026</x:v>
      </x:c>
      <x:c r="H402" s="13" t="str">
        <x:v>-</x:v>
      </x:c>
      <x:c r="I402" s="13" t="str">
        <x:v>Synthetic example: complaint indicates an existing court/prosecutor filing; barangay should not mediate as new KP case.</x:v>
      </x:c>
      <x:c r="J402" s="13" t="str">
        <x:v>Refer</x:v>
      </x:c>
      <x:c r="K402" s="13" t="str">
        <x:v>NON_KP_REFERRAL</x:v>
      </x:c>
      <x:c r="L402" s="13" t="str">
        <x:v>Not KP; already filed in court/prosecutor</x:v>
      </x:c>
      <x:c r="M402" s="13" t="str">
        <x:v>Do not docket as new KP mediation; note existing case and refer to court/prosecutor process</x:v>
      </x:c>
      <x:c r="N402" s="13" t="str">
        <x:v>Matter already filed in court/prosecutor is outside barangay conciliation.</x:v>
      </x:c>
      <x:c r="O402" s="13" t="str"/>
      <x:c r="P402" s="13" t="str">
        <x:v>Collection case na may scheduled court hearing</x:v>
      </x:c>
      <x:c r="Q402" s="13" t="str">
        <x:v>Added to balance 'already-filed-in-court' to 49 examples using the same Justice KP label schema.</x:v>
      </x:c>
      <x:c r="R402" s="13" t="str">
        <x:v>Synthetic row based on category coverage gap from uploaded PDF</x:v>
      </x:c>
    </x:row>
    <x:row r="403" ht="36" customHeight="1">
      <x:c r="A403" s="13" t="str">
        <x:v>SYN-COURT-010</x:v>
      </x:c>
      <x:c r="B403" s="13" t="str">
        <x:v>already-filed-in-court</x:v>
      </x:c>
      <x:c r="C403" s="13" t="str">
        <x:v>Synthetic</x:v>
      </x:c>
      <x:c r="D403" s="13" t="str"/>
      <x:c r="E403" s="13" t="str">
        <x:v>Disqualified</x:v>
      </x:c>
      <x:c r="F403" s="13" t="str">
        <x:v>Damage claim na may existing court summons</x:v>
      </x:c>
      <x:c r="G403" s="13" t="str">
        <x:v>February 7, 2026</x:v>
      </x:c>
      <x:c r="H403" s="13" t="str">
        <x:v>-</x:v>
      </x:c>
      <x:c r="I403" s="13" t="str">
        <x:v>Synthetic example: complaint indicates an existing court/prosecutor filing; barangay should not mediate as new KP case.</x:v>
      </x:c>
      <x:c r="J403" s="13" t="str">
        <x:v>Refer</x:v>
      </x:c>
      <x:c r="K403" s="13" t="str">
        <x:v>NON_KP_REFERRAL</x:v>
      </x:c>
      <x:c r="L403" s="13" t="str">
        <x:v>Not KP; already filed in court/prosecutor</x:v>
      </x:c>
      <x:c r="M403" s="13" t="str">
        <x:v>Do not docket as new KP mediation; note existing case and refer to court/prosecutor process</x:v>
      </x:c>
      <x:c r="N403" s="13" t="str">
        <x:v>Matter already filed in court/prosecutor is outside barangay conciliation.</x:v>
      </x:c>
      <x:c r="O403" s="13" t="str"/>
      <x:c r="P403" s="13" t="str">
        <x:v>Damage claim na may existing court summons</x:v>
      </x:c>
      <x:c r="Q403" s="13" t="str">
        <x:v>Added to balance 'already-filed-in-court' to 49 examples using the same Justice KP label schema.</x:v>
      </x:c>
      <x:c r="R403" s="13" t="str">
        <x:v>Synthetic row based on category coverage gap from uploaded PDF</x:v>
      </x:c>
    </x:row>
    <x:row r="404" ht="36" customHeight="1">
      <x:c r="A404" s="13" t="str">
        <x:v>SYN-COURT-011</x:v>
      </x:c>
      <x:c r="B404" s="13" t="str">
        <x:v>already-filed-in-court</x:v>
      </x:c>
      <x:c r="C404" s="13" t="str">
        <x:v>Synthetic</x:v>
      </x:c>
      <x:c r="D404" s="13" t="str"/>
      <x:c r="E404" s="13" t="str">
        <x:v>Disqualified</x:v>
      </x:c>
      <x:c r="F404" s="13" t="str">
        <x:v>Utang na may pending small claims case sa korte</x:v>
      </x:c>
      <x:c r="G404" s="13" t="str">
        <x:v>February 10, 2026</x:v>
      </x:c>
      <x:c r="H404" s="13" t="str">
        <x:v>-</x:v>
      </x:c>
      <x:c r="I404" s="13" t="str">
        <x:v>Synthetic example: complaint indicates an existing court/prosecutor filing; barangay should not mediate as new KP case.</x:v>
      </x:c>
      <x:c r="J404" s="13" t="str">
        <x:v>Refer</x:v>
      </x:c>
      <x:c r="K404" s="13" t="str">
        <x:v>NON_KP_REFERRAL</x:v>
      </x:c>
      <x:c r="L404" s="13" t="str">
        <x:v>Not KP; already filed in court/prosecutor</x:v>
      </x:c>
      <x:c r="M404" s="13" t="str">
        <x:v>Do not docket as new KP mediation; note existing case and refer to court/prosecutor process</x:v>
      </x:c>
      <x:c r="N404" s="13" t="str">
        <x:v>Matter already filed in court/prosecutor is outside barangay conciliation.</x:v>
      </x:c>
      <x:c r="O404" s="13" t="str"/>
      <x:c r="P404" s="13" t="str">
        <x:v>Utang na may pending small claims case sa korte</x:v>
      </x:c>
      <x:c r="Q404" s="13" t="str">
        <x:v>Added to balance 'already-filed-in-court' to 49 examples using the same Justice KP label schema.</x:v>
      </x:c>
      <x:c r="R404" s="13" t="str">
        <x:v>Synthetic row based on category coverage gap from uploaded PDF</x:v>
      </x:c>
    </x:row>
    <x:row r="405" ht="36" customHeight="1">
      <x:c r="A405" s="13" t="str">
        <x:v>SYN-COURT-012</x:v>
      </x:c>
      <x:c r="B405" s="13" t="str">
        <x:v>already-filed-in-court</x:v>
      </x:c>
      <x:c r="C405" s="13" t="str">
        <x:v>Synthetic</x:v>
      </x:c>
      <x:c r="D405" s="13" t="str"/>
      <x:c r="E405" s="13" t="str">
        <x:v>Disqualified</x:v>
      </x:c>
      <x:c r="F405" s="13" t="str">
        <x:v>Alitan sa lupa na naihain na sa RTC</x:v>
      </x:c>
      <x:c r="G405" s="13" t="str">
        <x:v>February 13, 2026</x:v>
      </x:c>
      <x:c r="H405" s="13" t="str">
        <x:v>-</x:v>
      </x:c>
      <x:c r="I405" s="13" t="str">
        <x:v>Synthetic example: complaint indicates an existing court/prosecutor filing; barangay should not mediate as new KP case.</x:v>
      </x:c>
      <x:c r="J405" s="13" t="str">
        <x:v>Refer</x:v>
      </x:c>
      <x:c r="K405" s="13" t="str">
        <x:v>NON_KP_REFERRAL</x:v>
      </x:c>
      <x:c r="L405" s="13" t="str">
        <x:v>Not KP; already filed in court/prosecutor</x:v>
      </x:c>
      <x:c r="M405" s="13" t="str">
        <x:v>Do not docket as new KP mediation; note existing case and refer to court/prosecutor process</x:v>
      </x:c>
      <x:c r="N405" s="13" t="str">
        <x:v>Matter already filed in court/prosecutor is outside barangay conciliation.</x:v>
      </x:c>
      <x:c r="O405" s="13" t="str"/>
      <x:c r="P405" s="13" t="str">
        <x:v>Alitan sa lupa na naihain na sa RTC</x:v>
      </x:c>
      <x:c r="Q405" s="13" t="str">
        <x:v>Added to balance 'already-filed-in-court' to 49 examples using the same Justice KP label schema.</x:v>
      </x:c>
      <x:c r="R405" s="13" t="str">
        <x:v>Synthetic row based on category coverage gap from uploaded PDF</x:v>
      </x:c>
    </x:row>
    <x:row r="406" ht="36" customHeight="1">
      <x:c r="A406" s="13" t="str">
        <x:v>SYN-COURT-013</x:v>
      </x:c>
      <x:c r="B406" s="13" t="str">
        <x:v>already-filed-in-court</x:v>
      </x:c>
      <x:c r="C406" s="13" t="str">
        <x:v>Synthetic</x:v>
      </x:c>
      <x:c r="D406" s="13" t="str"/>
      <x:c r="E406" s="13" t="str">
        <x:v>Disqualified</x:v>
      </x:c>
      <x:c r="F406" s="13" t="str">
        <x:v>Pananakit na may criminal complaint na sa prosecutor</x:v>
      </x:c>
      <x:c r="G406" s="13" t="str">
        <x:v>February 16, 2026</x:v>
      </x:c>
      <x:c r="H406" s="13" t="str">
        <x:v>-</x:v>
      </x:c>
      <x:c r="I406" s="13" t="str">
        <x:v>Synthetic example: complaint indicates an existing court/prosecutor filing; barangay should not mediate as new KP case.</x:v>
      </x:c>
      <x:c r="J406" s="13" t="str">
        <x:v>Refer</x:v>
      </x:c>
      <x:c r="K406" s="13" t="str">
        <x:v>NON_KP_REFERRAL</x:v>
      </x:c>
      <x:c r="L406" s="13" t="str">
        <x:v>Not KP; already filed in court/prosecutor</x:v>
      </x:c>
      <x:c r="M406" s="13" t="str">
        <x:v>Do not docket as new KP mediation; note existing case and refer to court/prosecutor process</x:v>
      </x:c>
      <x:c r="N406" s="13" t="str">
        <x:v>Matter already filed in court/prosecutor is outside barangay conciliation.</x:v>
      </x:c>
      <x:c r="O406" s="13" t="str"/>
      <x:c r="P406" s="13" t="str">
        <x:v>Pananakit na may criminal complaint na sa prosecutor</x:v>
      </x:c>
      <x:c r="Q406" s="13" t="str">
        <x:v>Added to balance 'already-filed-in-court' to 49 examples using the same Justice KP label schema.</x:v>
      </x:c>
      <x:c r="R406" s="13" t="str">
        <x:v>Synthetic row based on category coverage gap from uploaded PDF</x:v>
      </x:c>
    </x:row>
    <x:row r="407" ht="36" customHeight="1">
      <x:c r="A407" s="13" t="str">
        <x:v>SYN-COURT-014</x:v>
      </x:c>
      <x:c r="B407" s="13" t="str">
        <x:v>already-filed-in-court</x:v>
      </x:c>
      <x:c r="C407" s="13" t="str">
        <x:v>Synthetic</x:v>
      </x:c>
      <x:c r="D407" s="13" t="str"/>
      <x:c r="E407" s="13" t="str">
        <x:v>Disqualified</x:v>
      </x:c>
      <x:c r="F407" s="13" t="str">
        <x:v>Boundary dispute na may nakabinbing civil case</x:v>
      </x:c>
      <x:c r="G407" s="13" t="str">
        <x:v>February 19, 2026</x:v>
      </x:c>
      <x:c r="H407" s="13" t="str">
        <x:v>-</x:v>
      </x:c>
      <x:c r="I407" s="13" t="str">
        <x:v>Synthetic example: complaint indicates an existing court/prosecutor filing; barangay should not mediate as new KP case.</x:v>
      </x:c>
      <x:c r="J407" s="13" t="str">
        <x:v>Refer</x:v>
      </x:c>
      <x:c r="K407" s="13" t="str">
        <x:v>NON_KP_REFERRAL</x:v>
      </x:c>
      <x:c r="L407" s="13" t="str">
        <x:v>Not KP; already filed in court/prosecutor</x:v>
      </x:c>
      <x:c r="M407" s="13" t="str">
        <x:v>Do not docket as new KP mediation; note existing case and refer to court/prosecutor process</x:v>
      </x:c>
      <x:c r="N407" s="13" t="str">
        <x:v>Matter already filed in court/prosecutor is outside barangay conciliation.</x:v>
      </x:c>
      <x:c r="O407" s="13" t="str"/>
      <x:c r="P407" s="13" t="str">
        <x:v>Boundary dispute na may nakabinbing civil case</x:v>
      </x:c>
      <x:c r="Q407" s="13" t="str">
        <x:v>Added to balance 'already-filed-in-court' to 49 examples using the same Justice KP label schema.</x:v>
      </x:c>
      <x:c r="R407" s="13" t="str">
        <x:v>Synthetic row based on category coverage gap from uploaded PDF</x:v>
      </x:c>
    </x:row>
    <x:row r="408" ht="36" customHeight="1">
      <x:c r="A408" s="13" t="str">
        <x:v>SYN-COURT-015</x:v>
      </x:c>
      <x:c r="B408" s="13" t="str">
        <x:v>already-filed-in-court</x:v>
      </x:c>
      <x:c r="C408" s="13" t="str">
        <x:v>Synthetic</x:v>
      </x:c>
      <x:c r="D408" s="13" t="str"/>
      <x:c r="E408" s="13" t="str">
        <x:v>Disqualified</x:v>
      </x:c>
      <x:c r="F408" s="13" t="str">
        <x:v>Threat complaint na may docket number na sa korte</x:v>
      </x:c>
      <x:c r="G408" s="13" t="str">
        <x:v>February 22, 2026</x:v>
      </x:c>
      <x:c r="H408" s="13" t="str">
        <x:v>-</x:v>
      </x:c>
      <x:c r="I408" s="13" t="str">
        <x:v>Synthetic example: complaint indicates an existing court/prosecutor filing; barangay should not mediate as new KP case.</x:v>
      </x:c>
      <x:c r="J408" s="13" t="str">
        <x:v>Refer</x:v>
      </x:c>
      <x:c r="K408" s="13" t="str">
        <x:v>NON_KP_REFERRAL</x:v>
      </x:c>
      <x:c r="L408" s="13" t="str">
        <x:v>Not KP; already filed in court/prosecutor</x:v>
      </x:c>
      <x:c r="M408" s="13" t="str">
        <x:v>Do not docket as new KP mediation; note existing case and refer to court/prosecutor process</x:v>
      </x:c>
      <x:c r="N408" s="13" t="str">
        <x:v>Matter already filed in court/prosecutor is outside barangay conciliation.</x:v>
      </x:c>
      <x:c r="O408" s="13" t="str"/>
      <x:c r="P408" s="13" t="str">
        <x:v>Threat complaint na may docket number na sa korte</x:v>
      </x:c>
      <x:c r="Q408" s="13" t="str">
        <x:v>Added to balance 'already-filed-in-court' to 49 examples using the same Justice KP label schema.</x:v>
      </x:c>
      <x:c r="R408" s="13" t="str">
        <x:v>Synthetic row based on category coverage gap from uploaded PDF</x:v>
      </x:c>
    </x:row>
    <x:row r="409" ht="36" customHeight="1">
      <x:c r="A409" s="13" t="str">
        <x:v>SYN-COURT-016</x:v>
      </x:c>
      <x:c r="B409" s="13" t="str">
        <x:v>already-filed-in-court</x:v>
      </x:c>
      <x:c r="C409" s="13" t="str">
        <x:v>Synthetic</x:v>
      </x:c>
      <x:c r="D409" s="13" t="str"/>
      <x:c r="E409" s="13" t="str">
        <x:v>Disqualified</x:v>
      </x:c>
      <x:c r="F409" s="13" t="str">
        <x:v>Renta dispute na nasa small claims na</x:v>
      </x:c>
      <x:c r="G409" s="13" t="str">
        <x:v>February 25, 2026</x:v>
      </x:c>
      <x:c r="H409" s="13" t="str">
        <x:v>-</x:v>
      </x:c>
      <x:c r="I409" s="13" t="str">
        <x:v>Synthetic example: complaint indicates an existing court/prosecutor filing; barangay should not mediate as new KP case.</x:v>
      </x:c>
      <x:c r="J409" s="13" t="str">
        <x:v>Refer</x:v>
      </x:c>
      <x:c r="K409" s="13" t="str">
        <x:v>NON_KP_REFERRAL</x:v>
      </x:c>
      <x:c r="L409" s="13" t="str">
        <x:v>Not KP; already filed in court/prosecutor</x:v>
      </x:c>
      <x:c r="M409" s="13" t="str">
        <x:v>Do not docket as new KP mediation; note existing case and refer to court/prosecutor process</x:v>
      </x:c>
      <x:c r="N409" s="13" t="str">
        <x:v>Matter already filed in court/prosecutor is outside barangay conciliation.</x:v>
      </x:c>
      <x:c r="O409" s="13" t="str"/>
      <x:c r="P409" s="13" t="str">
        <x:v>Renta dispute na nasa small claims na</x:v>
      </x:c>
      <x:c r="Q409" s="13" t="str">
        <x:v>Added to balance 'already-filed-in-court' to 49 examples using the same Justice KP label schema.</x:v>
      </x:c>
      <x:c r="R409" s="13" t="str">
        <x:v>Synthetic row based on category coverage gap from uploaded PDF</x:v>
      </x:c>
    </x:row>
    <x:row r="410" ht="36" customHeight="1">
      <x:c r="A410" s="13" t="str">
        <x:v>SYN-COURT-017</x:v>
      </x:c>
      <x:c r="B410" s="13" t="str">
        <x:v>already-filed-in-court</x:v>
      </x:c>
      <x:c r="C410" s="13" t="str">
        <x:v>Synthetic</x:v>
      </x:c>
      <x:c r="D410" s="13" t="str"/>
      <x:c r="E410" s="13" t="str">
        <x:v>Disqualified</x:v>
      </x:c>
      <x:c r="F410" s="13" t="str">
        <x:v>Property dispute na may pending injunction case</x:v>
      </x:c>
      <x:c r="G410" s="13" t="str">
        <x:v>February 28, 2026</x:v>
      </x:c>
      <x:c r="H410" s="13" t="str">
        <x:v>-</x:v>
      </x:c>
      <x:c r="I410" s="13" t="str">
        <x:v>Synthetic example: complaint indicates an existing court/prosecutor filing; barangay should not mediate as new KP case.</x:v>
      </x:c>
      <x:c r="J410" s="13" t="str">
        <x:v>Refer</x:v>
      </x:c>
      <x:c r="K410" s="13" t="str">
        <x:v>NON_KP_REFERRAL</x:v>
      </x:c>
      <x:c r="L410" s="13" t="str">
        <x:v>Not KP; already filed in court/prosecutor</x:v>
      </x:c>
      <x:c r="M410" s="13" t="str">
        <x:v>Do not docket as new KP mediation; note existing case and refer to court/prosecutor process</x:v>
      </x:c>
      <x:c r="N410" s="13" t="str">
        <x:v>Matter already filed in court/prosecutor is outside barangay conciliation.</x:v>
      </x:c>
      <x:c r="O410" s="13" t="str"/>
      <x:c r="P410" s="13" t="str">
        <x:v>Property dispute na may pending injunction case</x:v>
      </x:c>
      <x:c r="Q410" s="13" t="str">
        <x:v>Added to balance 'already-filed-in-court' to 49 examples using the same Justice KP label schema.</x:v>
      </x:c>
      <x:c r="R410" s="13" t="str">
        <x:v>Synthetic row based on category coverage gap from uploaded PDF</x:v>
      </x:c>
    </x:row>
    <x:row r="411" ht="36" customHeight="1">
      <x:c r="A411" s="13" t="str">
        <x:v>SYN-COURT-018</x:v>
      </x:c>
      <x:c r="B411" s="13" t="str">
        <x:v>already-filed-in-court</x:v>
      </x:c>
      <x:c r="C411" s="13" t="str">
        <x:v>Synthetic</x:v>
      </x:c>
      <x:c r="D411" s="13" t="str"/>
      <x:c r="E411" s="13" t="str">
        <x:v>Disqualified</x:v>
      </x:c>
      <x:c r="F411" s="13" t="str">
        <x:v>Defamation complaint na na-file na sa prosecutor</x:v>
      </x:c>
      <x:c r="G411" s="13" t="str">
        <x:v>March 3, 2026</x:v>
      </x:c>
      <x:c r="H411" s="13" t="str">
        <x:v>-</x:v>
      </x:c>
      <x:c r="I411" s="13" t="str">
        <x:v>Synthetic example: complaint indicates an existing court/prosecutor filing; barangay should not mediate as new KP case.</x:v>
      </x:c>
      <x:c r="J411" s="13" t="str">
        <x:v>Refer</x:v>
      </x:c>
      <x:c r="K411" s="13" t="str">
        <x:v>NON_KP_REFERRAL</x:v>
      </x:c>
      <x:c r="L411" s="13" t="str">
        <x:v>Not KP; already filed in court/prosecutor</x:v>
      </x:c>
      <x:c r="M411" s="13" t="str">
        <x:v>Do not docket as new KP mediation; note existing case and refer to court/prosecutor process</x:v>
      </x:c>
      <x:c r="N411" s="13" t="str">
        <x:v>Matter already filed in court/prosecutor is outside barangay conciliation.</x:v>
      </x:c>
      <x:c r="O411" s="13" t="str"/>
      <x:c r="P411" s="13" t="str">
        <x:v>Defamation complaint na na-file na sa prosecutor</x:v>
      </x:c>
      <x:c r="Q411" s="13" t="str">
        <x:v>Added to balance 'already-filed-in-court' to 49 examples using the same Justice KP label schema.</x:v>
      </x:c>
      <x:c r="R411" s="13" t="str">
        <x:v>Synthetic row based on category coverage gap from uploaded PDF</x:v>
      </x:c>
    </x:row>
    <x:row r="412" ht="36" customHeight="1">
      <x:c r="A412" s="13" t="str">
        <x:v>SYN-COURT-019</x:v>
      </x:c>
      <x:c r="B412" s="13" t="str">
        <x:v>already-filed-in-court</x:v>
      </x:c>
      <x:c r="C412" s="13" t="str">
        <x:v>Synthetic</x:v>
      </x:c>
      <x:c r="D412" s="13" t="str"/>
      <x:c r="E412" s="13" t="str">
        <x:v>Disqualified</x:v>
      </x:c>
      <x:c r="F412" s="13" t="str">
        <x:v>Collection case na may scheduled court hearing</x:v>
      </x:c>
      <x:c r="G412" s="13" t="str">
        <x:v>March 6, 2026</x:v>
      </x:c>
      <x:c r="H412" s="13" t="str">
        <x:v>-</x:v>
      </x:c>
      <x:c r="I412" s="13" t="str">
        <x:v>Synthetic example: complaint indicates an existing court/prosecutor filing; barangay should not mediate as new KP case.</x:v>
      </x:c>
      <x:c r="J412" s="13" t="str">
        <x:v>Refer</x:v>
      </x:c>
      <x:c r="K412" s="13" t="str">
        <x:v>NON_KP_REFERRAL</x:v>
      </x:c>
      <x:c r="L412" s="13" t="str">
        <x:v>Not KP; already filed in court/prosecutor</x:v>
      </x:c>
      <x:c r="M412" s="13" t="str">
        <x:v>Do not docket as new KP mediation; note existing case and refer to court/prosecutor process</x:v>
      </x:c>
      <x:c r="N412" s="13" t="str">
        <x:v>Matter already filed in court/prosecutor is outside barangay conciliation.</x:v>
      </x:c>
      <x:c r="O412" s="13" t="str"/>
      <x:c r="P412" s="13" t="str">
        <x:v>Collection case na may scheduled court hearing</x:v>
      </x:c>
      <x:c r="Q412" s="13" t="str">
        <x:v>Added to balance 'already-filed-in-court' to 49 examples using the same Justice KP label schema.</x:v>
      </x:c>
      <x:c r="R412" s="13" t="str">
        <x:v>Synthetic row based on category coverage gap from uploaded PDF</x:v>
      </x:c>
    </x:row>
    <x:row r="413" ht="36" customHeight="1">
      <x:c r="A413" s="13" t="str">
        <x:v>SYN-COURT-020</x:v>
      </x:c>
      <x:c r="B413" s="13" t="str">
        <x:v>already-filed-in-court</x:v>
      </x:c>
      <x:c r="C413" s="13" t="str">
        <x:v>Synthetic</x:v>
      </x:c>
      <x:c r="D413" s="13" t="str"/>
      <x:c r="E413" s="13" t="str">
        <x:v>Disqualified</x:v>
      </x:c>
      <x:c r="F413" s="13" t="str">
        <x:v>Damage claim na may existing court summons</x:v>
      </x:c>
      <x:c r="G413" s="13" t="str">
        <x:v>March 9, 2026</x:v>
      </x:c>
      <x:c r="H413" s="13" t="str">
        <x:v>-</x:v>
      </x:c>
      <x:c r="I413" s="13" t="str">
        <x:v>Synthetic example: complaint indicates an existing court/prosecutor filing; barangay should not mediate as new KP case.</x:v>
      </x:c>
      <x:c r="J413" s="13" t="str">
        <x:v>Refer</x:v>
      </x:c>
      <x:c r="K413" s="13" t="str">
        <x:v>NON_KP_REFERRAL</x:v>
      </x:c>
      <x:c r="L413" s="13" t="str">
        <x:v>Not KP; already filed in court/prosecutor</x:v>
      </x:c>
      <x:c r="M413" s="13" t="str">
        <x:v>Do not docket as new KP mediation; note existing case and refer to court/prosecutor process</x:v>
      </x:c>
      <x:c r="N413" s="13" t="str">
        <x:v>Matter already filed in court/prosecutor is outside barangay conciliation.</x:v>
      </x:c>
      <x:c r="O413" s="13" t="str"/>
      <x:c r="P413" s="13" t="str">
        <x:v>Damage claim na may existing court summons</x:v>
      </x:c>
      <x:c r="Q413" s="13" t="str">
        <x:v>Added to balance 'already-filed-in-court' to 49 examples using the same Justice KP label schema.</x:v>
      </x:c>
      <x:c r="R413" s="13" t="str">
        <x:v>Synthetic row based on category coverage gap from uploaded PDF</x:v>
      </x:c>
    </x:row>
    <x:row r="414" ht="36" customHeight="1">
      <x:c r="A414" s="13" t="str">
        <x:v>SYN-COURT-021</x:v>
      </x:c>
      <x:c r="B414" s="13" t="str">
        <x:v>already-filed-in-court</x:v>
      </x:c>
      <x:c r="C414" s="13" t="str">
        <x:v>Synthetic</x:v>
      </x:c>
      <x:c r="D414" s="13" t="str"/>
      <x:c r="E414" s="13" t="str">
        <x:v>Disqualified</x:v>
      </x:c>
      <x:c r="F414" s="13" t="str">
        <x:v>Utang na may pending small claims case sa korte</x:v>
      </x:c>
      <x:c r="G414" s="13" t="str">
        <x:v>March 12, 2026</x:v>
      </x:c>
      <x:c r="H414" s="13" t="str">
        <x:v>-</x:v>
      </x:c>
      <x:c r="I414" s="13" t="str">
        <x:v>Synthetic example: complaint indicates an existing court/prosecutor filing; barangay should not mediate as new KP case.</x:v>
      </x:c>
      <x:c r="J414" s="13" t="str">
        <x:v>Refer</x:v>
      </x:c>
      <x:c r="K414" s="13" t="str">
        <x:v>NON_KP_REFERRAL</x:v>
      </x:c>
      <x:c r="L414" s="13" t="str">
        <x:v>Not KP; already filed in court/prosecutor</x:v>
      </x:c>
      <x:c r="M414" s="13" t="str">
        <x:v>Do not docket as new KP mediation; note existing case and refer to court/prosecutor process</x:v>
      </x:c>
      <x:c r="N414" s="13" t="str">
        <x:v>Matter already filed in court/prosecutor is outside barangay conciliation.</x:v>
      </x:c>
      <x:c r="O414" s="13" t="str"/>
      <x:c r="P414" s="13" t="str">
        <x:v>Utang na may pending small claims case sa korte</x:v>
      </x:c>
      <x:c r="Q414" s="13" t="str">
        <x:v>Added to balance 'already-filed-in-court' to 49 examples using the same Justice KP label schema.</x:v>
      </x:c>
      <x:c r="R414" s="13" t="str">
        <x:v>Synthetic row based on category coverage gap from uploaded PDF</x:v>
      </x:c>
    </x:row>
    <x:row r="415" ht="36" customHeight="1">
      <x:c r="A415" s="13" t="str">
        <x:v>SYN-COURT-022</x:v>
      </x:c>
      <x:c r="B415" s="13" t="str">
        <x:v>already-filed-in-court</x:v>
      </x:c>
      <x:c r="C415" s="13" t="str">
        <x:v>Synthetic</x:v>
      </x:c>
      <x:c r="D415" s="13" t="str"/>
      <x:c r="E415" s="13" t="str">
        <x:v>Disqualified</x:v>
      </x:c>
      <x:c r="F415" s="13" t="str">
        <x:v>Alitan sa lupa na naihain na sa RTC</x:v>
      </x:c>
      <x:c r="G415" s="13" t="str">
        <x:v>March 15, 2026</x:v>
      </x:c>
      <x:c r="H415" s="13" t="str">
        <x:v>-</x:v>
      </x:c>
      <x:c r="I415" s="13" t="str">
        <x:v>Synthetic example: complaint indicates an existing court/prosecutor filing; barangay should not mediate as new KP case.</x:v>
      </x:c>
      <x:c r="J415" s="13" t="str">
        <x:v>Refer</x:v>
      </x:c>
      <x:c r="K415" s="13" t="str">
        <x:v>NON_KP_REFERRAL</x:v>
      </x:c>
      <x:c r="L415" s="13" t="str">
        <x:v>Not KP; already filed in court/prosecutor</x:v>
      </x:c>
      <x:c r="M415" s="13" t="str">
        <x:v>Do not docket as new KP mediation; note existing case and refer to court/prosecutor process</x:v>
      </x:c>
      <x:c r="N415" s="13" t="str">
        <x:v>Matter already filed in court/prosecutor is outside barangay conciliation.</x:v>
      </x:c>
      <x:c r="O415" s="13" t="str"/>
      <x:c r="P415" s="13" t="str">
        <x:v>Alitan sa lupa na naihain na sa RTC</x:v>
      </x:c>
      <x:c r="Q415" s="13" t="str">
        <x:v>Added to balance 'already-filed-in-court' to 49 examples using the same Justice KP label schema.</x:v>
      </x:c>
      <x:c r="R415" s="13" t="str">
        <x:v>Synthetic row based on category coverage gap from uploaded PDF</x:v>
      </x:c>
    </x:row>
    <x:row r="416" ht="36" customHeight="1">
      <x:c r="A416" s="13" t="str">
        <x:v>SYN-COURT-023</x:v>
      </x:c>
      <x:c r="B416" s="13" t="str">
        <x:v>already-filed-in-court</x:v>
      </x:c>
      <x:c r="C416" s="13" t="str">
        <x:v>Synthetic</x:v>
      </x:c>
      <x:c r="D416" s="13" t="str"/>
      <x:c r="E416" s="13" t="str">
        <x:v>Disqualified</x:v>
      </x:c>
      <x:c r="F416" s="13" t="str">
        <x:v>Pananakit na may criminal complaint na sa prosecutor</x:v>
      </x:c>
      <x:c r="G416" s="13" t="str">
        <x:v>March 18, 2026</x:v>
      </x:c>
      <x:c r="H416" s="13" t="str">
        <x:v>-</x:v>
      </x:c>
      <x:c r="I416" s="13" t="str">
        <x:v>Synthetic example: complaint indicates an existing court/prosecutor filing; barangay should not mediate as new KP case.</x:v>
      </x:c>
      <x:c r="J416" s="13" t="str">
        <x:v>Refer</x:v>
      </x:c>
      <x:c r="K416" s="13" t="str">
        <x:v>NON_KP_REFERRAL</x:v>
      </x:c>
      <x:c r="L416" s="13" t="str">
        <x:v>Not KP; already filed in court/prosecutor</x:v>
      </x:c>
      <x:c r="M416" s="13" t="str">
        <x:v>Do not docket as new KP mediation; note existing case and refer to court/prosecutor process</x:v>
      </x:c>
      <x:c r="N416" s="13" t="str">
        <x:v>Matter already filed in court/prosecutor is outside barangay conciliation.</x:v>
      </x:c>
      <x:c r="O416" s="13" t="str"/>
      <x:c r="P416" s="13" t="str">
        <x:v>Pananakit na may criminal complaint na sa prosecutor</x:v>
      </x:c>
      <x:c r="Q416" s="13" t="str">
        <x:v>Added to balance 'already-filed-in-court' to 49 examples using the same Justice KP label schema.</x:v>
      </x:c>
      <x:c r="R416" s="13" t="str">
        <x:v>Synthetic row based on category coverage gap from uploaded PDF</x:v>
      </x:c>
    </x:row>
    <x:row r="417" ht="36" customHeight="1">
      <x:c r="A417" s="13" t="str">
        <x:v>SYN-COURT-024</x:v>
      </x:c>
      <x:c r="B417" s="13" t="str">
        <x:v>already-filed-in-court</x:v>
      </x:c>
      <x:c r="C417" s="13" t="str">
        <x:v>Synthetic</x:v>
      </x:c>
      <x:c r="D417" s="13" t="str"/>
      <x:c r="E417" s="13" t="str">
        <x:v>Disqualified</x:v>
      </x:c>
      <x:c r="F417" s="13" t="str">
        <x:v>Boundary dispute na may nakabinbing civil case</x:v>
      </x:c>
      <x:c r="G417" s="13" t="str">
        <x:v>March 21, 2026</x:v>
      </x:c>
      <x:c r="H417" s="13" t="str">
        <x:v>-</x:v>
      </x:c>
      <x:c r="I417" s="13" t="str">
        <x:v>Synthetic example: complaint indicates an existing court/prosecutor filing; barangay should not mediate as new KP case.</x:v>
      </x:c>
      <x:c r="J417" s="13" t="str">
        <x:v>Refer</x:v>
      </x:c>
      <x:c r="K417" s="13" t="str">
        <x:v>NON_KP_REFERRAL</x:v>
      </x:c>
      <x:c r="L417" s="13" t="str">
        <x:v>Not KP; already filed in court/prosecutor</x:v>
      </x:c>
      <x:c r="M417" s="13" t="str">
        <x:v>Do not docket as new KP mediation; note existing case and refer to court/prosecutor process</x:v>
      </x:c>
      <x:c r="N417" s="13" t="str">
        <x:v>Matter already filed in court/prosecutor is outside barangay conciliation.</x:v>
      </x:c>
      <x:c r="O417" s="13" t="str"/>
      <x:c r="P417" s="13" t="str">
        <x:v>Boundary dispute na may nakabinbing civil case</x:v>
      </x:c>
      <x:c r="Q417" s="13" t="str">
        <x:v>Added to balance 'already-filed-in-court' to 49 examples using the same Justice KP label schema.</x:v>
      </x:c>
      <x:c r="R417" s="13" t="str">
        <x:v>Synthetic row based on category coverage gap from uploaded PDF</x:v>
      </x:c>
    </x:row>
    <x:row r="418" ht="36" customHeight="1">
      <x:c r="A418" s="13" t="str">
        <x:v>SYN-COURT-025</x:v>
      </x:c>
      <x:c r="B418" s="13" t="str">
        <x:v>already-filed-in-court</x:v>
      </x:c>
      <x:c r="C418" s="13" t="str">
        <x:v>Synthetic</x:v>
      </x:c>
      <x:c r="D418" s="13" t="str"/>
      <x:c r="E418" s="13" t="str">
        <x:v>Disqualified</x:v>
      </x:c>
      <x:c r="F418" s="13" t="str">
        <x:v>Threat complaint na may docket number na sa korte</x:v>
      </x:c>
      <x:c r="G418" s="13" t="str">
        <x:v>March 24, 2026</x:v>
      </x:c>
      <x:c r="H418" s="13" t="str">
        <x:v>-</x:v>
      </x:c>
      <x:c r="I418" s="13" t="str">
        <x:v>Synthetic example: complaint indicates an existing court/prosecutor filing; barangay should not mediate as new KP case.</x:v>
      </x:c>
      <x:c r="J418" s="13" t="str">
        <x:v>Refer</x:v>
      </x:c>
      <x:c r="K418" s="13" t="str">
        <x:v>NON_KP_REFERRAL</x:v>
      </x:c>
      <x:c r="L418" s="13" t="str">
        <x:v>Not KP; already filed in court/prosecutor</x:v>
      </x:c>
      <x:c r="M418" s="13" t="str">
        <x:v>Do not docket as new KP mediation; note existing case and refer to court/prosecutor process</x:v>
      </x:c>
      <x:c r="N418" s="13" t="str">
        <x:v>Matter already filed in court/prosecutor is outside barangay conciliation.</x:v>
      </x:c>
      <x:c r="O418" s="13" t="str"/>
      <x:c r="P418" s="13" t="str">
        <x:v>Threat complaint na may docket number na sa korte</x:v>
      </x:c>
      <x:c r="Q418" s="13" t="str">
        <x:v>Added to balance 'already-filed-in-court' to 49 examples using the same Justice KP label schema.</x:v>
      </x:c>
      <x:c r="R418" s="13" t="str">
        <x:v>Synthetic row based on category coverage gap from uploaded PDF</x:v>
      </x:c>
    </x:row>
    <x:row r="419" ht="36" customHeight="1">
      <x:c r="A419" s="13" t="str">
        <x:v>SYN-COURT-026</x:v>
      </x:c>
      <x:c r="B419" s="13" t="str">
        <x:v>already-filed-in-court</x:v>
      </x:c>
      <x:c r="C419" s="13" t="str">
        <x:v>Synthetic</x:v>
      </x:c>
      <x:c r="D419" s="13" t="str"/>
      <x:c r="E419" s="13" t="str">
        <x:v>Disqualified</x:v>
      </x:c>
      <x:c r="F419" s="13" t="str">
        <x:v>Renta dispute na nasa small claims na</x:v>
      </x:c>
      <x:c r="G419" s="13" t="str">
        <x:v>March 27, 2026</x:v>
      </x:c>
      <x:c r="H419" s="13" t="str">
        <x:v>-</x:v>
      </x:c>
      <x:c r="I419" s="13" t="str">
        <x:v>Synthetic example: complaint indicates an existing court/prosecutor filing; barangay should not mediate as new KP case.</x:v>
      </x:c>
      <x:c r="J419" s="13" t="str">
        <x:v>Refer</x:v>
      </x:c>
      <x:c r="K419" s="13" t="str">
        <x:v>NON_KP_REFERRAL</x:v>
      </x:c>
      <x:c r="L419" s="13" t="str">
        <x:v>Not KP; already filed in court/prosecutor</x:v>
      </x:c>
      <x:c r="M419" s="13" t="str">
        <x:v>Do not docket as new KP mediation; note existing case and refer to court/prosecutor process</x:v>
      </x:c>
      <x:c r="N419" s="13" t="str">
        <x:v>Matter already filed in court/prosecutor is outside barangay conciliation.</x:v>
      </x:c>
      <x:c r="O419" s="13" t="str"/>
      <x:c r="P419" s="13" t="str">
        <x:v>Renta dispute na nasa small claims na</x:v>
      </x:c>
      <x:c r="Q419" s="13" t="str">
        <x:v>Added to balance 'already-filed-in-court' to 49 examples using the same Justice KP label schema.</x:v>
      </x:c>
      <x:c r="R419" s="13" t="str">
        <x:v>Synthetic row based on category coverage gap from uploaded PDF</x:v>
      </x:c>
    </x:row>
    <x:row r="420" ht="36" customHeight="1">
      <x:c r="A420" s="13" t="str">
        <x:v>SYN-COURT-027</x:v>
      </x:c>
      <x:c r="B420" s="13" t="str">
        <x:v>already-filed-in-court</x:v>
      </x:c>
      <x:c r="C420" s="13" t="str">
        <x:v>Synthetic</x:v>
      </x:c>
      <x:c r="D420" s="13" t="str"/>
      <x:c r="E420" s="13" t="str">
        <x:v>Disqualified</x:v>
      </x:c>
      <x:c r="F420" s="13" t="str">
        <x:v>Property dispute na may pending injunction case</x:v>
      </x:c>
      <x:c r="G420" s="13" t="str">
        <x:v>March 30, 2026</x:v>
      </x:c>
      <x:c r="H420" s="13" t="str">
        <x:v>-</x:v>
      </x:c>
      <x:c r="I420" s="13" t="str">
        <x:v>Synthetic example: complaint indicates an existing court/prosecutor filing; barangay should not mediate as new KP case.</x:v>
      </x:c>
      <x:c r="J420" s="13" t="str">
        <x:v>Refer</x:v>
      </x:c>
      <x:c r="K420" s="13" t="str">
        <x:v>NON_KP_REFERRAL</x:v>
      </x:c>
      <x:c r="L420" s="13" t="str">
        <x:v>Not KP; already filed in court/prosecutor</x:v>
      </x:c>
      <x:c r="M420" s="13" t="str">
        <x:v>Do not docket as new KP mediation; note existing case and refer to court/prosecutor process</x:v>
      </x:c>
      <x:c r="N420" s="13" t="str">
        <x:v>Matter already filed in court/prosecutor is outside barangay conciliation.</x:v>
      </x:c>
      <x:c r="O420" s="13" t="str"/>
      <x:c r="P420" s="13" t="str">
        <x:v>Property dispute na may pending injunction case</x:v>
      </x:c>
      <x:c r="Q420" s="13" t="str">
        <x:v>Added to balance 'already-filed-in-court' to 49 examples using the same Justice KP label schema.</x:v>
      </x:c>
      <x:c r="R420" s="13" t="str">
        <x:v>Synthetic row based on category coverage gap from uploaded PDF</x:v>
      </x:c>
    </x:row>
    <x:row r="421" ht="36" customHeight="1">
      <x:c r="A421" s="13" t="str">
        <x:v>SYN-COURT-028</x:v>
      </x:c>
      <x:c r="B421" s="13" t="str">
        <x:v>already-filed-in-court</x:v>
      </x:c>
      <x:c r="C421" s="13" t="str">
        <x:v>Synthetic</x:v>
      </x:c>
      <x:c r="D421" s="13" t="str"/>
      <x:c r="E421" s="13" t="str">
        <x:v>Disqualified</x:v>
      </x:c>
      <x:c r="F421" s="13" t="str">
        <x:v>Defamation complaint na na-file na sa prosecutor</x:v>
      </x:c>
      <x:c r="G421" s="13" t="str">
        <x:v>April 2, 2026</x:v>
      </x:c>
      <x:c r="H421" s="13" t="str">
        <x:v>-</x:v>
      </x:c>
      <x:c r="I421" s="13" t="str">
        <x:v>Synthetic example: complaint indicates an existing court/prosecutor filing; barangay should not mediate as new KP case.</x:v>
      </x:c>
      <x:c r="J421" s="13" t="str">
        <x:v>Refer</x:v>
      </x:c>
      <x:c r="K421" s="13" t="str">
        <x:v>NON_KP_REFERRAL</x:v>
      </x:c>
      <x:c r="L421" s="13" t="str">
        <x:v>Not KP; already filed in court/prosecutor</x:v>
      </x:c>
      <x:c r="M421" s="13" t="str">
        <x:v>Do not docket as new KP mediation; note existing case and refer to court/prosecutor process</x:v>
      </x:c>
      <x:c r="N421" s="13" t="str">
        <x:v>Matter already filed in court/prosecutor is outside barangay conciliation.</x:v>
      </x:c>
      <x:c r="O421" s="13" t="str"/>
      <x:c r="P421" s="13" t="str">
        <x:v>Defamation complaint na na-file na sa prosecutor</x:v>
      </x:c>
      <x:c r="Q421" s="13" t="str">
        <x:v>Added to balance 'already-filed-in-court' to 49 examples using the same Justice KP label schema.</x:v>
      </x:c>
      <x:c r="R421" s="13" t="str">
        <x:v>Synthetic row based on category coverage gap from uploaded PDF</x:v>
      </x:c>
    </x:row>
    <x:row r="422" ht="36" customHeight="1">
      <x:c r="A422" s="13" t="str">
        <x:v>SYN-COURT-029</x:v>
      </x:c>
      <x:c r="B422" s="13" t="str">
        <x:v>already-filed-in-court</x:v>
      </x:c>
      <x:c r="C422" s="13" t="str">
        <x:v>Synthetic</x:v>
      </x:c>
      <x:c r="D422" s="13" t="str"/>
      <x:c r="E422" s="13" t="str">
        <x:v>Disqualified</x:v>
      </x:c>
      <x:c r="F422" s="13" t="str">
        <x:v>Collection case na may scheduled court hearing</x:v>
      </x:c>
      <x:c r="G422" s="13" t="str">
        <x:v>April 5, 2026</x:v>
      </x:c>
      <x:c r="H422" s="13" t="str">
        <x:v>-</x:v>
      </x:c>
      <x:c r="I422" s="13" t="str">
        <x:v>Synthetic example: complaint indicates an existing court/prosecutor filing; barangay should not mediate as new KP case.</x:v>
      </x:c>
      <x:c r="J422" s="13" t="str">
        <x:v>Refer</x:v>
      </x:c>
      <x:c r="K422" s="13" t="str">
        <x:v>NON_KP_REFERRAL</x:v>
      </x:c>
      <x:c r="L422" s="13" t="str">
        <x:v>Not KP; already filed in court/prosecutor</x:v>
      </x:c>
      <x:c r="M422" s="13" t="str">
        <x:v>Do not docket as new KP mediation; note existing case and refer to court/prosecutor process</x:v>
      </x:c>
      <x:c r="N422" s="13" t="str">
        <x:v>Matter already filed in court/prosecutor is outside barangay conciliation.</x:v>
      </x:c>
      <x:c r="O422" s="13" t="str"/>
      <x:c r="P422" s="13" t="str">
        <x:v>Collection case na may scheduled court hearing</x:v>
      </x:c>
      <x:c r="Q422" s="13" t="str">
        <x:v>Added to balance 'already-filed-in-court' to 49 examples using the same Justice KP label schema.</x:v>
      </x:c>
      <x:c r="R422" s="13" t="str">
        <x:v>Synthetic row based on category coverage gap from uploaded PDF</x:v>
      </x:c>
    </x:row>
    <x:row r="423" ht="36" customHeight="1">
      <x:c r="A423" s="13" t="str">
        <x:v>SYN-COURT-030</x:v>
      </x:c>
      <x:c r="B423" s="13" t="str">
        <x:v>already-filed-in-court</x:v>
      </x:c>
      <x:c r="C423" s="13" t="str">
        <x:v>Synthetic</x:v>
      </x:c>
      <x:c r="D423" s="13" t="str"/>
      <x:c r="E423" s="13" t="str">
        <x:v>Disqualified</x:v>
      </x:c>
      <x:c r="F423" s="13" t="str">
        <x:v>Damage claim na may existing court summons</x:v>
      </x:c>
      <x:c r="G423" s="13" t="str">
        <x:v>April 8, 2026</x:v>
      </x:c>
      <x:c r="H423" s="13" t="str">
        <x:v>-</x:v>
      </x:c>
      <x:c r="I423" s="13" t="str">
        <x:v>Synthetic example: complaint indicates an existing court/prosecutor filing; barangay should not mediate as new KP case.</x:v>
      </x:c>
      <x:c r="J423" s="13" t="str">
        <x:v>Refer</x:v>
      </x:c>
      <x:c r="K423" s="13" t="str">
        <x:v>NON_KP_REFERRAL</x:v>
      </x:c>
      <x:c r="L423" s="13" t="str">
        <x:v>Not KP; already filed in court/prosecutor</x:v>
      </x:c>
      <x:c r="M423" s="13" t="str">
        <x:v>Do not docket as new KP mediation; note existing case and refer to court/prosecutor process</x:v>
      </x:c>
      <x:c r="N423" s="13" t="str">
        <x:v>Matter already filed in court/prosecutor is outside barangay conciliation.</x:v>
      </x:c>
      <x:c r="O423" s="13" t="str"/>
      <x:c r="P423" s="13" t="str">
        <x:v>Damage claim na may existing court summons</x:v>
      </x:c>
      <x:c r="Q423" s="13" t="str">
        <x:v>Added to balance 'already-filed-in-court' to 49 examples using the same Justice KP label schema.</x:v>
      </x:c>
      <x:c r="R423" s="13" t="str">
        <x:v>Synthetic row based on category coverage gap from uploaded PDF</x:v>
      </x:c>
    </x:row>
    <x:row r="424" ht="36" customHeight="1">
      <x:c r="A424" s="13" t="str">
        <x:v>SYN-COURT-031</x:v>
      </x:c>
      <x:c r="B424" s="13" t="str">
        <x:v>already-filed-in-court</x:v>
      </x:c>
      <x:c r="C424" s="13" t="str">
        <x:v>Synthetic</x:v>
      </x:c>
      <x:c r="D424" s="13" t="str"/>
      <x:c r="E424" s="13" t="str">
        <x:v>Disqualified</x:v>
      </x:c>
      <x:c r="F424" s="13" t="str">
        <x:v>Utang na may pending small claims case sa korte</x:v>
      </x:c>
      <x:c r="G424" s="13" t="str">
        <x:v>April 11, 2026</x:v>
      </x:c>
      <x:c r="H424" s="13" t="str">
        <x:v>-</x:v>
      </x:c>
      <x:c r="I424" s="13" t="str">
        <x:v>Synthetic example: complaint indicates an existing court/prosecutor filing; barangay should not mediate as new KP case.</x:v>
      </x:c>
      <x:c r="J424" s="13" t="str">
        <x:v>Refer</x:v>
      </x:c>
      <x:c r="K424" s="13" t="str">
        <x:v>NON_KP_REFERRAL</x:v>
      </x:c>
      <x:c r="L424" s="13" t="str">
        <x:v>Not KP; already filed in court/prosecutor</x:v>
      </x:c>
      <x:c r="M424" s="13" t="str">
        <x:v>Do not docket as new KP mediation; note existing case and refer to court/prosecutor process</x:v>
      </x:c>
      <x:c r="N424" s="13" t="str">
        <x:v>Matter already filed in court/prosecutor is outside barangay conciliation.</x:v>
      </x:c>
      <x:c r="O424" s="13" t="str"/>
      <x:c r="P424" s="13" t="str">
        <x:v>Utang na may pending small claims case sa korte</x:v>
      </x:c>
      <x:c r="Q424" s="13" t="str">
        <x:v>Added to balance 'already-filed-in-court' to 49 examples using the same Justice KP label schema.</x:v>
      </x:c>
      <x:c r="R424" s="13" t="str">
        <x:v>Synthetic row based on category coverage gap from uploaded PDF</x:v>
      </x:c>
    </x:row>
    <x:row r="425" ht="36" customHeight="1">
      <x:c r="A425" s="13" t="str">
        <x:v>SYN-COURT-032</x:v>
      </x:c>
      <x:c r="B425" s="13" t="str">
        <x:v>already-filed-in-court</x:v>
      </x:c>
      <x:c r="C425" s="13" t="str">
        <x:v>Synthetic</x:v>
      </x:c>
      <x:c r="D425" s="13" t="str"/>
      <x:c r="E425" s="13" t="str">
        <x:v>Disqualified</x:v>
      </x:c>
      <x:c r="F425" s="13" t="str">
        <x:v>Alitan sa lupa na naihain na sa RTC</x:v>
      </x:c>
      <x:c r="G425" s="13" t="str">
        <x:v>April 14, 2026</x:v>
      </x:c>
      <x:c r="H425" s="13" t="str">
        <x:v>-</x:v>
      </x:c>
      <x:c r="I425" s="13" t="str">
        <x:v>Synthetic example: complaint indicates an existing court/prosecutor filing; barangay should not mediate as new KP case.</x:v>
      </x:c>
      <x:c r="J425" s="13" t="str">
        <x:v>Refer</x:v>
      </x:c>
      <x:c r="K425" s="13" t="str">
        <x:v>NON_KP_REFERRAL</x:v>
      </x:c>
      <x:c r="L425" s="13" t="str">
        <x:v>Not KP; already filed in court/prosecutor</x:v>
      </x:c>
      <x:c r="M425" s="13" t="str">
        <x:v>Do not docket as new KP mediation; note existing case and refer to court/prosecutor process</x:v>
      </x:c>
      <x:c r="N425" s="13" t="str">
        <x:v>Matter already filed in court/prosecutor is outside barangay conciliation.</x:v>
      </x:c>
      <x:c r="O425" s="13" t="str"/>
      <x:c r="P425" s="13" t="str">
        <x:v>Alitan sa lupa na naihain na sa RTC</x:v>
      </x:c>
      <x:c r="Q425" s="13" t="str">
        <x:v>Added to balance 'already-filed-in-court' to 49 examples using the same Justice KP label schema.</x:v>
      </x:c>
      <x:c r="R425" s="13" t="str">
        <x:v>Synthetic row based on category coverage gap from uploaded PDF</x:v>
      </x:c>
    </x:row>
    <x:row r="426" ht="36" customHeight="1">
      <x:c r="A426" s="13" t="str">
        <x:v>SYN-COURT-033</x:v>
      </x:c>
      <x:c r="B426" s="13" t="str">
        <x:v>already-filed-in-court</x:v>
      </x:c>
      <x:c r="C426" s="13" t="str">
        <x:v>Synthetic</x:v>
      </x:c>
      <x:c r="D426" s="13" t="str"/>
      <x:c r="E426" s="13" t="str">
        <x:v>Disqualified</x:v>
      </x:c>
      <x:c r="F426" s="13" t="str">
        <x:v>Pananakit na may criminal complaint na sa prosecutor</x:v>
      </x:c>
      <x:c r="G426" s="13" t="str">
        <x:v>April 17, 2026</x:v>
      </x:c>
      <x:c r="H426" s="13" t="str">
        <x:v>-</x:v>
      </x:c>
      <x:c r="I426" s="13" t="str">
        <x:v>Synthetic example: complaint indicates an existing court/prosecutor filing; barangay should not mediate as new KP case.</x:v>
      </x:c>
      <x:c r="J426" s="13" t="str">
        <x:v>Refer</x:v>
      </x:c>
      <x:c r="K426" s="13" t="str">
        <x:v>NON_KP_REFERRAL</x:v>
      </x:c>
      <x:c r="L426" s="13" t="str">
        <x:v>Not KP; already filed in court/prosecutor</x:v>
      </x:c>
      <x:c r="M426" s="13" t="str">
        <x:v>Do not docket as new KP mediation; note existing case and refer to court/prosecutor process</x:v>
      </x:c>
      <x:c r="N426" s="13" t="str">
        <x:v>Matter already filed in court/prosecutor is outside barangay conciliation.</x:v>
      </x:c>
      <x:c r="O426" s="13" t="str"/>
      <x:c r="P426" s="13" t="str">
        <x:v>Pananakit na may criminal complaint na sa prosecutor</x:v>
      </x:c>
      <x:c r="Q426" s="13" t="str">
        <x:v>Added to balance 'already-filed-in-court' to 49 examples using the same Justice KP label schema.</x:v>
      </x:c>
      <x:c r="R426" s="13" t="str">
        <x:v>Synthetic row based on category coverage gap from uploaded PDF</x:v>
      </x:c>
    </x:row>
    <x:row r="427" ht="36" customHeight="1">
      <x:c r="A427" s="13" t="str">
        <x:v>SYN-COURT-034</x:v>
      </x:c>
      <x:c r="B427" s="13" t="str">
        <x:v>already-filed-in-court</x:v>
      </x:c>
      <x:c r="C427" s="13" t="str">
        <x:v>Synthetic</x:v>
      </x:c>
      <x:c r="D427" s="13" t="str"/>
      <x:c r="E427" s="13" t="str">
        <x:v>Disqualified</x:v>
      </x:c>
      <x:c r="F427" s="13" t="str">
        <x:v>Boundary dispute na may nakabinbing civil case</x:v>
      </x:c>
      <x:c r="G427" s="13" t="str">
        <x:v>April 20, 2026</x:v>
      </x:c>
      <x:c r="H427" s="13" t="str">
        <x:v>-</x:v>
      </x:c>
      <x:c r="I427" s="13" t="str">
        <x:v>Synthetic example: complaint indicates an existing court/prosecutor filing; barangay should not mediate as new KP case.</x:v>
      </x:c>
      <x:c r="J427" s="13" t="str">
        <x:v>Refer</x:v>
      </x:c>
      <x:c r="K427" s="13" t="str">
        <x:v>NON_KP_REFERRAL</x:v>
      </x:c>
      <x:c r="L427" s="13" t="str">
        <x:v>Not KP; already filed in court/prosecutor</x:v>
      </x:c>
      <x:c r="M427" s="13" t="str">
        <x:v>Do not docket as new KP mediation; note existing case and refer to court/prosecutor process</x:v>
      </x:c>
      <x:c r="N427" s="13" t="str">
        <x:v>Matter already filed in court/prosecutor is outside barangay conciliation.</x:v>
      </x:c>
      <x:c r="O427" s="13" t="str"/>
      <x:c r="P427" s="13" t="str">
        <x:v>Boundary dispute na may nakabinbing civil case</x:v>
      </x:c>
      <x:c r="Q427" s="13" t="str">
        <x:v>Added to balance 'already-filed-in-court' to 49 examples using the same Justice KP label schema.</x:v>
      </x:c>
      <x:c r="R427" s="13" t="str">
        <x:v>Synthetic row based on category coverage gap from uploaded PDF</x:v>
      </x:c>
    </x:row>
    <x:row r="428" ht="36" customHeight="1">
      <x:c r="A428" s="13" t="str">
        <x:v>SYN-COURT-035</x:v>
      </x:c>
      <x:c r="B428" s="13" t="str">
        <x:v>already-filed-in-court</x:v>
      </x:c>
      <x:c r="C428" s="13" t="str">
        <x:v>Synthetic</x:v>
      </x:c>
      <x:c r="D428" s="13" t="str"/>
      <x:c r="E428" s="13" t="str">
        <x:v>Disqualified</x:v>
      </x:c>
      <x:c r="F428" s="13" t="str">
        <x:v>Threat complaint na may docket number na sa korte</x:v>
      </x:c>
      <x:c r="G428" s="13" t="str">
        <x:v>April 23, 2026</x:v>
      </x:c>
      <x:c r="H428" s="13" t="str">
        <x:v>-</x:v>
      </x:c>
      <x:c r="I428" s="13" t="str">
        <x:v>Synthetic example: complaint indicates an existing court/prosecutor filing; barangay should not mediate as new KP case.</x:v>
      </x:c>
      <x:c r="J428" s="13" t="str">
        <x:v>Refer</x:v>
      </x:c>
      <x:c r="K428" s="13" t="str">
        <x:v>NON_KP_REFERRAL</x:v>
      </x:c>
      <x:c r="L428" s="13" t="str">
        <x:v>Not KP; already filed in court/prosecutor</x:v>
      </x:c>
      <x:c r="M428" s="13" t="str">
        <x:v>Do not docket as new KP mediation; note existing case and refer to court/prosecutor process</x:v>
      </x:c>
      <x:c r="N428" s="13" t="str">
        <x:v>Matter already filed in court/prosecutor is outside barangay conciliation.</x:v>
      </x:c>
      <x:c r="O428" s="13" t="str"/>
      <x:c r="P428" s="13" t="str">
        <x:v>Threat complaint na may docket number na sa korte</x:v>
      </x:c>
      <x:c r="Q428" s="13" t="str">
        <x:v>Added to balance 'already-filed-in-court' to 49 examples using the same Justice KP label schema.</x:v>
      </x:c>
      <x:c r="R428" s="13" t="str">
        <x:v>Synthetic row based on category coverage gap from uploaded PDF</x:v>
      </x:c>
    </x:row>
    <x:row r="429" ht="36" customHeight="1">
      <x:c r="A429" s="13" t="str">
        <x:v>SYN-COURT-036</x:v>
      </x:c>
      <x:c r="B429" s="13" t="str">
        <x:v>already-filed-in-court</x:v>
      </x:c>
      <x:c r="C429" s="13" t="str">
        <x:v>Synthetic</x:v>
      </x:c>
      <x:c r="D429" s="13" t="str"/>
      <x:c r="E429" s="13" t="str">
        <x:v>Disqualified</x:v>
      </x:c>
      <x:c r="F429" s="13" t="str">
        <x:v>Renta dispute na nasa small claims na</x:v>
      </x:c>
      <x:c r="G429" s="13" t="str">
        <x:v>April 26, 2026</x:v>
      </x:c>
      <x:c r="H429" s="13" t="str">
        <x:v>-</x:v>
      </x:c>
      <x:c r="I429" s="13" t="str">
        <x:v>Synthetic example: complaint indicates an existing court/prosecutor filing; barangay should not mediate as new KP case.</x:v>
      </x:c>
      <x:c r="J429" s="13" t="str">
        <x:v>Refer</x:v>
      </x:c>
      <x:c r="K429" s="13" t="str">
        <x:v>NON_KP_REFERRAL</x:v>
      </x:c>
      <x:c r="L429" s="13" t="str">
        <x:v>Not KP; already filed in court/prosecutor</x:v>
      </x:c>
      <x:c r="M429" s="13" t="str">
        <x:v>Do not docket as new KP mediation; note existing case and refer to court/prosecutor process</x:v>
      </x:c>
      <x:c r="N429" s="13" t="str">
        <x:v>Matter already filed in court/prosecutor is outside barangay conciliation.</x:v>
      </x:c>
      <x:c r="O429" s="13" t="str"/>
      <x:c r="P429" s="13" t="str">
        <x:v>Renta dispute na nasa small claims na</x:v>
      </x:c>
      <x:c r="Q429" s="13" t="str">
        <x:v>Added to balance 'already-filed-in-court' to 49 examples using the same Justice KP label schema.</x:v>
      </x:c>
      <x:c r="R429" s="13" t="str">
        <x:v>Synthetic row based on category coverage gap from uploaded PDF</x:v>
      </x:c>
    </x:row>
    <x:row r="430" ht="36" customHeight="1">
      <x:c r="A430" s="13" t="str">
        <x:v>SYN-COURT-037</x:v>
      </x:c>
      <x:c r="B430" s="13" t="str">
        <x:v>already-filed-in-court</x:v>
      </x:c>
      <x:c r="C430" s="13" t="str">
        <x:v>Synthetic</x:v>
      </x:c>
      <x:c r="D430" s="13" t="str"/>
      <x:c r="E430" s="13" t="str">
        <x:v>Disqualified</x:v>
      </x:c>
      <x:c r="F430" s="13" t="str">
        <x:v>Property dispute na may pending injunction case</x:v>
      </x:c>
      <x:c r="G430" s="13" t="str">
        <x:v>April 29, 2026</x:v>
      </x:c>
      <x:c r="H430" s="13" t="str">
        <x:v>-</x:v>
      </x:c>
      <x:c r="I430" s="13" t="str">
        <x:v>Synthetic example: complaint indicates an existing court/prosecutor filing; barangay should not mediate as new KP case.</x:v>
      </x:c>
      <x:c r="J430" s="13" t="str">
        <x:v>Refer</x:v>
      </x:c>
      <x:c r="K430" s="13" t="str">
        <x:v>NON_KP_REFERRAL</x:v>
      </x:c>
      <x:c r="L430" s="13" t="str">
        <x:v>Not KP; already filed in court/prosecutor</x:v>
      </x:c>
      <x:c r="M430" s="13" t="str">
        <x:v>Do not docket as new KP mediation; note existing case and refer to court/prosecutor process</x:v>
      </x:c>
      <x:c r="N430" s="13" t="str">
        <x:v>Matter already filed in court/prosecutor is outside barangay conciliation.</x:v>
      </x:c>
      <x:c r="O430" s="13" t="str"/>
      <x:c r="P430" s="13" t="str">
        <x:v>Property dispute na may pending injunction case</x:v>
      </x:c>
      <x:c r="Q430" s="13" t="str">
        <x:v>Added to balance 'already-filed-in-court' to 49 examples using the same Justice KP label schema.</x:v>
      </x:c>
      <x:c r="R430" s="13" t="str">
        <x:v>Synthetic row based on category coverage gap from uploaded PDF</x:v>
      </x:c>
    </x:row>
    <x:row r="431" ht="36" customHeight="1">
      <x:c r="A431" s="13" t="str">
        <x:v>SYN-COURT-038</x:v>
      </x:c>
      <x:c r="B431" s="13" t="str">
        <x:v>already-filed-in-court</x:v>
      </x:c>
      <x:c r="C431" s="13" t="str">
        <x:v>Synthetic</x:v>
      </x:c>
      <x:c r="D431" s="13" t="str"/>
      <x:c r="E431" s="13" t="str">
        <x:v>Disqualified</x:v>
      </x:c>
      <x:c r="F431" s="13" t="str">
        <x:v>Defamation complaint na na-file na sa prosecutor</x:v>
      </x:c>
      <x:c r="G431" s="13" t="str">
        <x:v>May 2, 2026</x:v>
      </x:c>
      <x:c r="H431" s="13" t="str">
        <x:v>-</x:v>
      </x:c>
      <x:c r="I431" s="13" t="str">
        <x:v>Synthetic example: complaint indicates an existing court/prosecutor filing; barangay should not mediate as new KP case.</x:v>
      </x:c>
      <x:c r="J431" s="13" t="str">
        <x:v>Refer</x:v>
      </x:c>
      <x:c r="K431" s="13" t="str">
        <x:v>NON_KP_REFERRAL</x:v>
      </x:c>
      <x:c r="L431" s="13" t="str">
        <x:v>Not KP; already filed in court/prosecutor</x:v>
      </x:c>
      <x:c r="M431" s="13" t="str">
        <x:v>Do not docket as new KP mediation; note existing case and refer to court/prosecutor process</x:v>
      </x:c>
      <x:c r="N431" s="13" t="str">
        <x:v>Matter already filed in court/prosecutor is outside barangay conciliation.</x:v>
      </x:c>
      <x:c r="O431" s="13" t="str"/>
      <x:c r="P431" s="13" t="str">
        <x:v>Defamation complaint na na-file na sa prosecutor</x:v>
      </x:c>
      <x:c r="Q431" s="13" t="str">
        <x:v>Added to balance 'already-filed-in-court' to 49 examples using the same Justice KP label schema.</x:v>
      </x:c>
      <x:c r="R431" s="13" t="str">
        <x:v>Synthetic row based on category coverage gap from uploaded PDF</x:v>
      </x:c>
    </x:row>
    <x:row r="432" ht="36" customHeight="1">
      <x:c r="A432" s="13" t="str">
        <x:v>SYN-COURT-039</x:v>
      </x:c>
      <x:c r="B432" s="13" t="str">
        <x:v>already-filed-in-court</x:v>
      </x:c>
      <x:c r="C432" s="13" t="str">
        <x:v>Synthetic</x:v>
      </x:c>
      <x:c r="D432" s="13" t="str"/>
      <x:c r="E432" s="13" t="str">
        <x:v>Disqualified</x:v>
      </x:c>
      <x:c r="F432" s="13" t="str">
        <x:v>Collection case na may scheduled court hearing</x:v>
      </x:c>
      <x:c r="G432" s="13" t="str">
        <x:v>May 5, 2026</x:v>
      </x:c>
      <x:c r="H432" s="13" t="str">
        <x:v>-</x:v>
      </x:c>
      <x:c r="I432" s="13" t="str">
        <x:v>Synthetic example: complaint indicates an existing court/prosecutor filing; barangay should not mediate as new KP case.</x:v>
      </x:c>
      <x:c r="J432" s="13" t="str">
        <x:v>Refer</x:v>
      </x:c>
      <x:c r="K432" s="13" t="str">
        <x:v>NON_KP_REFERRAL</x:v>
      </x:c>
      <x:c r="L432" s="13" t="str">
        <x:v>Not KP; already filed in court/prosecutor</x:v>
      </x:c>
      <x:c r="M432" s="13" t="str">
        <x:v>Do not docket as new KP mediation; note existing case and refer to court/prosecutor process</x:v>
      </x:c>
      <x:c r="N432" s="13" t="str">
        <x:v>Matter already filed in court/prosecutor is outside barangay conciliation.</x:v>
      </x:c>
      <x:c r="O432" s="13" t="str"/>
      <x:c r="P432" s="13" t="str">
        <x:v>Collection case na may scheduled court hearing</x:v>
      </x:c>
      <x:c r="Q432" s="13" t="str">
        <x:v>Added to balance 'already-filed-in-court' to 49 examples using the same Justice KP label schema.</x:v>
      </x:c>
      <x:c r="R432" s="13" t="str">
        <x:v>Synthetic row based on category coverage gap from uploaded PDF</x:v>
      </x:c>
    </x:row>
    <x:row r="433" ht="36" customHeight="1">
      <x:c r="A433" s="13" t="str">
        <x:v>SYN-COURT-040</x:v>
      </x:c>
      <x:c r="B433" s="13" t="str">
        <x:v>already-filed-in-court</x:v>
      </x:c>
      <x:c r="C433" s="13" t="str">
        <x:v>Synthetic</x:v>
      </x:c>
      <x:c r="D433" s="13" t="str"/>
      <x:c r="E433" s="13" t="str">
        <x:v>Disqualified</x:v>
      </x:c>
      <x:c r="F433" s="13" t="str">
        <x:v>Damage claim na may existing court summons</x:v>
      </x:c>
      <x:c r="G433" s="13" t="str">
        <x:v>May 8, 2026</x:v>
      </x:c>
      <x:c r="H433" s="13" t="str">
        <x:v>-</x:v>
      </x:c>
      <x:c r="I433" s="13" t="str">
        <x:v>Synthetic example: complaint indicates an existing court/prosecutor filing; barangay should not mediate as new KP case.</x:v>
      </x:c>
      <x:c r="J433" s="13" t="str">
        <x:v>Refer</x:v>
      </x:c>
      <x:c r="K433" s="13" t="str">
        <x:v>NON_KP_REFERRAL</x:v>
      </x:c>
      <x:c r="L433" s="13" t="str">
        <x:v>Not KP; already filed in court/prosecutor</x:v>
      </x:c>
      <x:c r="M433" s="13" t="str">
        <x:v>Do not docket as new KP mediation; note existing case and refer to court/prosecutor process</x:v>
      </x:c>
      <x:c r="N433" s="13" t="str">
        <x:v>Matter already filed in court/prosecutor is outside barangay conciliation.</x:v>
      </x:c>
      <x:c r="O433" s="13" t="str"/>
      <x:c r="P433" s="13" t="str">
        <x:v>Damage claim na may existing court summons</x:v>
      </x:c>
      <x:c r="Q433" s="13" t="str">
        <x:v>Added to balance 'already-filed-in-court' to 49 examples using the same Justice KP label schema.</x:v>
      </x:c>
      <x:c r="R433" s="13" t="str">
        <x:v>Synthetic row based on category coverage gap from uploaded PDF</x:v>
      </x:c>
    </x:row>
    <x:row r="434" ht="36" customHeight="1">
      <x:c r="A434" s="13" t="str">
        <x:v>SYN-COURT-041</x:v>
      </x:c>
      <x:c r="B434" s="13" t="str">
        <x:v>already-filed-in-court</x:v>
      </x:c>
      <x:c r="C434" s="13" t="str">
        <x:v>Synthetic</x:v>
      </x:c>
      <x:c r="D434" s="13" t="str"/>
      <x:c r="E434" s="13" t="str">
        <x:v>Disqualified</x:v>
      </x:c>
      <x:c r="F434" s="13" t="str">
        <x:v>Utang na may pending small claims case sa korte</x:v>
      </x:c>
      <x:c r="G434" s="13" t="str">
        <x:v>May 11, 2026</x:v>
      </x:c>
      <x:c r="H434" s="13" t="str">
        <x:v>-</x:v>
      </x:c>
      <x:c r="I434" s="13" t="str">
        <x:v>Synthetic example: complaint indicates an existing court/prosecutor filing; barangay should not mediate as new KP case.</x:v>
      </x:c>
      <x:c r="J434" s="13" t="str">
        <x:v>Refer</x:v>
      </x:c>
      <x:c r="K434" s="13" t="str">
        <x:v>NON_KP_REFERRAL</x:v>
      </x:c>
      <x:c r="L434" s="13" t="str">
        <x:v>Not KP; already filed in court/prosecutor</x:v>
      </x:c>
      <x:c r="M434" s="13" t="str">
        <x:v>Do not docket as new KP mediation; note existing case and refer to court/prosecutor process</x:v>
      </x:c>
      <x:c r="N434" s="13" t="str">
        <x:v>Matter already filed in court/prosecutor is outside barangay conciliation.</x:v>
      </x:c>
      <x:c r="O434" s="13" t="str"/>
      <x:c r="P434" s="13" t="str">
        <x:v>Utang na may pending small claims case sa korte</x:v>
      </x:c>
      <x:c r="Q434" s="13" t="str">
        <x:v>Added to balance 'already-filed-in-court' to 49 examples using the same Justice KP label schema.</x:v>
      </x:c>
      <x:c r="R434" s="13" t="str">
        <x:v>Synthetic row based on category coverage gap from uploaded PDF</x:v>
      </x:c>
    </x:row>
    <x:row r="435" ht="36" customHeight="1">
      <x:c r="A435" s="13" t="str">
        <x:v>SYN-COURT-042</x:v>
      </x:c>
      <x:c r="B435" s="13" t="str">
        <x:v>already-filed-in-court</x:v>
      </x:c>
      <x:c r="C435" s="13" t="str">
        <x:v>Synthetic</x:v>
      </x:c>
      <x:c r="D435" s="13" t="str"/>
      <x:c r="E435" s="13" t="str">
        <x:v>Disqualified</x:v>
      </x:c>
      <x:c r="F435" s="13" t="str">
        <x:v>Alitan sa lupa na naihain na sa RTC</x:v>
      </x:c>
      <x:c r="G435" s="13" t="str">
        <x:v>May 14, 2026</x:v>
      </x:c>
      <x:c r="H435" s="13" t="str">
        <x:v>-</x:v>
      </x:c>
      <x:c r="I435" s="13" t="str">
        <x:v>Synthetic example: complaint indicates an existing court/prosecutor filing; barangay should not mediate as new KP case.</x:v>
      </x:c>
      <x:c r="J435" s="13" t="str">
        <x:v>Refer</x:v>
      </x:c>
      <x:c r="K435" s="13" t="str">
        <x:v>NON_KP_REFERRAL</x:v>
      </x:c>
      <x:c r="L435" s="13" t="str">
        <x:v>Not KP; already filed in court/prosecutor</x:v>
      </x:c>
      <x:c r="M435" s="13" t="str">
        <x:v>Do not docket as new KP mediation; note existing case and refer to court/prosecutor process</x:v>
      </x:c>
      <x:c r="N435" s="13" t="str">
        <x:v>Matter already filed in court/prosecutor is outside barangay conciliation.</x:v>
      </x:c>
      <x:c r="O435" s="13" t="str"/>
      <x:c r="P435" s="13" t="str">
        <x:v>Alitan sa lupa na naihain na sa RTC</x:v>
      </x:c>
      <x:c r="Q435" s="13" t="str">
        <x:v>Added to balance 'already-filed-in-court' to 49 examples using the same Justice KP label schema.</x:v>
      </x:c>
      <x:c r="R435" s="13" t="str">
        <x:v>Synthetic row based on category coverage gap from uploaded PDF</x:v>
      </x:c>
    </x:row>
    <x:row r="436" ht="36" customHeight="1">
      <x:c r="A436" s="13" t="str">
        <x:v>SYN-COURT-043</x:v>
      </x:c>
      <x:c r="B436" s="13" t="str">
        <x:v>already-filed-in-court</x:v>
      </x:c>
      <x:c r="C436" s="13" t="str">
        <x:v>Synthetic</x:v>
      </x:c>
      <x:c r="D436" s="13" t="str"/>
      <x:c r="E436" s="13" t="str">
        <x:v>Disqualified</x:v>
      </x:c>
      <x:c r="F436" s="13" t="str">
        <x:v>Pananakit na may criminal complaint na sa prosecutor</x:v>
      </x:c>
      <x:c r="G436" s="13" t="str">
        <x:v>May 17, 2026</x:v>
      </x:c>
      <x:c r="H436" s="13" t="str">
        <x:v>-</x:v>
      </x:c>
      <x:c r="I436" s="13" t="str">
        <x:v>Synthetic example: complaint indicates an existing court/prosecutor filing; barangay should not mediate as new KP case.</x:v>
      </x:c>
      <x:c r="J436" s="13" t="str">
        <x:v>Refer</x:v>
      </x:c>
      <x:c r="K436" s="13" t="str">
        <x:v>NON_KP_REFERRAL</x:v>
      </x:c>
      <x:c r="L436" s="13" t="str">
        <x:v>Not KP; already filed in court/prosecutor</x:v>
      </x:c>
      <x:c r="M436" s="13" t="str">
        <x:v>Do not docket as new KP mediation; note existing case and refer to court/prosecutor process</x:v>
      </x:c>
      <x:c r="N436" s="13" t="str">
        <x:v>Matter already filed in court/prosecutor is outside barangay conciliation.</x:v>
      </x:c>
      <x:c r="O436" s="13" t="str"/>
      <x:c r="P436" s="13" t="str">
        <x:v>Pananakit na may criminal complaint na sa prosecutor</x:v>
      </x:c>
      <x:c r="Q436" s="13" t="str">
        <x:v>Added to balance 'already-filed-in-court' to 49 examples using the same Justice KP label schema.</x:v>
      </x:c>
      <x:c r="R436" s="13" t="str">
        <x:v>Synthetic row based on category coverage gap from uploaded PDF</x:v>
      </x:c>
    </x:row>
    <x:row r="437" ht="36" customHeight="1">
      <x:c r="A437" s="13" t="str">
        <x:v>SYN-COURT-044</x:v>
      </x:c>
      <x:c r="B437" s="13" t="str">
        <x:v>already-filed-in-court</x:v>
      </x:c>
      <x:c r="C437" s="13" t="str">
        <x:v>Synthetic</x:v>
      </x:c>
      <x:c r="D437" s="13" t="str"/>
      <x:c r="E437" s="13" t="str">
        <x:v>Disqualified</x:v>
      </x:c>
      <x:c r="F437" s="13" t="str">
        <x:v>Boundary dispute na may nakabinbing civil case</x:v>
      </x:c>
      <x:c r="G437" s="13" t="str">
        <x:v>May 20, 2026</x:v>
      </x:c>
      <x:c r="H437" s="13" t="str">
        <x:v>-</x:v>
      </x:c>
      <x:c r="I437" s="13" t="str">
        <x:v>Synthetic example: complaint indicates an existing court/prosecutor filing; barangay should not mediate as new KP case.</x:v>
      </x:c>
      <x:c r="J437" s="13" t="str">
        <x:v>Refer</x:v>
      </x:c>
      <x:c r="K437" s="13" t="str">
        <x:v>NON_KP_REFERRAL</x:v>
      </x:c>
      <x:c r="L437" s="13" t="str">
        <x:v>Not KP; already filed in court/prosecutor</x:v>
      </x:c>
      <x:c r="M437" s="13" t="str">
        <x:v>Do not docket as new KP mediation; note existing case and refer to court/prosecutor process</x:v>
      </x:c>
      <x:c r="N437" s="13" t="str">
        <x:v>Matter already filed in court/prosecutor is outside barangay conciliation.</x:v>
      </x:c>
      <x:c r="O437" s="13" t="str"/>
      <x:c r="P437" s="13" t="str">
        <x:v>Boundary dispute na may nakabinbing civil case</x:v>
      </x:c>
      <x:c r="Q437" s="13" t="str">
        <x:v>Added to balance 'already-filed-in-court' to 49 examples using the same Justice KP label schema.</x:v>
      </x:c>
      <x:c r="R437" s="13" t="str">
        <x:v>Synthetic row based on category coverage gap from uploaded PDF</x:v>
      </x:c>
    </x:row>
    <x:row r="438" ht="36" customHeight="1">
      <x:c r="A438" s="13" t="str">
        <x:v>SYN-COURT-045</x:v>
      </x:c>
      <x:c r="B438" s="13" t="str">
        <x:v>already-filed-in-court</x:v>
      </x:c>
      <x:c r="C438" s="13" t="str">
        <x:v>Synthetic</x:v>
      </x:c>
      <x:c r="D438" s="13" t="str"/>
      <x:c r="E438" s="13" t="str">
        <x:v>Disqualified</x:v>
      </x:c>
      <x:c r="F438" s="13" t="str">
        <x:v>Threat complaint na may docket number na sa korte</x:v>
      </x:c>
      <x:c r="G438" s="13" t="str">
        <x:v>May 23, 2026</x:v>
      </x:c>
      <x:c r="H438" s="13" t="str">
        <x:v>-</x:v>
      </x:c>
      <x:c r="I438" s="13" t="str">
        <x:v>Synthetic example: complaint indicates an existing court/prosecutor filing; barangay should not mediate as new KP case.</x:v>
      </x:c>
      <x:c r="J438" s="13" t="str">
        <x:v>Refer</x:v>
      </x:c>
      <x:c r="K438" s="13" t="str">
        <x:v>NON_KP_REFERRAL</x:v>
      </x:c>
      <x:c r="L438" s="13" t="str">
        <x:v>Not KP; already filed in court/prosecutor</x:v>
      </x:c>
      <x:c r="M438" s="13" t="str">
        <x:v>Do not docket as new KP mediation; note existing case and refer to court/prosecutor process</x:v>
      </x:c>
      <x:c r="N438" s="13" t="str">
        <x:v>Matter already filed in court/prosecutor is outside barangay conciliation.</x:v>
      </x:c>
      <x:c r="O438" s="13" t="str"/>
      <x:c r="P438" s="13" t="str">
        <x:v>Threat complaint na may docket number na sa korte</x:v>
      </x:c>
      <x:c r="Q438" s="13" t="str">
        <x:v>Added to balance 'already-filed-in-court' to 49 examples using the same Justice KP label schema.</x:v>
      </x:c>
      <x:c r="R438" s="13" t="str">
        <x:v>Synthetic row based on category coverage gap from uploaded PDF</x:v>
      </x:c>
    </x:row>
    <x:row r="439" ht="36" customHeight="1">
      <x:c r="A439" s="13" t="str">
        <x:v>SYN-COURT-046</x:v>
      </x:c>
      <x:c r="B439" s="13" t="str">
        <x:v>already-filed-in-court</x:v>
      </x:c>
      <x:c r="C439" s="13" t="str">
        <x:v>Synthetic</x:v>
      </x:c>
      <x:c r="D439" s="13" t="str"/>
      <x:c r="E439" s="13" t="str">
        <x:v>Disqualified</x:v>
      </x:c>
      <x:c r="F439" s="13" t="str">
        <x:v>Renta dispute na nasa small claims na</x:v>
      </x:c>
      <x:c r="G439" s="13" t="str">
        <x:v>May 26, 2026</x:v>
      </x:c>
      <x:c r="H439" s="13" t="str">
        <x:v>-</x:v>
      </x:c>
      <x:c r="I439" s="13" t="str">
        <x:v>Synthetic example: complaint indicates an existing court/prosecutor filing; barangay should not mediate as new KP case.</x:v>
      </x:c>
      <x:c r="J439" s="13" t="str">
        <x:v>Refer</x:v>
      </x:c>
      <x:c r="K439" s="13" t="str">
        <x:v>NON_KP_REFERRAL</x:v>
      </x:c>
      <x:c r="L439" s="13" t="str">
        <x:v>Not KP; already filed in court/prosecutor</x:v>
      </x:c>
      <x:c r="M439" s="13" t="str">
        <x:v>Do not docket as new KP mediation; note existing case and refer to court/prosecutor process</x:v>
      </x:c>
      <x:c r="N439" s="13" t="str">
        <x:v>Matter already filed in court/prosecutor is outside barangay conciliation.</x:v>
      </x:c>
      <x:c r="O439" s="13" t="str"/>
      <x:c r="P439" s="13" t="str">
        <x:v>Renta dispute na nasa small claims na</x:v>
      </x:c>
      <x:c r="Q439" s="13" t="str">
        <x:v>Added to balance 'already-filed-in-court' to 49 examples using the same Justice KP label schema.</x:v>
      </x:c>
      <x:c r="R439" s="13" t="str">
        <x:v>Synthetic row based on category coverage gap from uploaded PDF</x:v>
      </x:c>
    </x:row>
    <x:row r="440" ht="36" customHeight="1">
      <x:c r="A440" s="13" t="str">
        <x:v>SYN-COURT-047</x:v>
      </x:c>
      <x:c r="B440" s="13" t="str">
        <x:v>already-filed-in-court</x:v>
      </x:c>
      <x:c r="C440" s="13" t="str">
        <x:v>Synthetic</x:v>
      </x:c>
      <x:c r="D440" s="13" t="str"/>
      <x:c r="E440" s="13" t="str">
        <x:v>Disqualified</x:v>
      </x:c>
      <x:c r="F440" s="13" t="str">
        <x:v>Property dispute na may pending injunction case</x:v>
      </x:c>
      <x:c r="G440" s="13" t="str">
        <x:v>May 29, 2026</x:v>
      </x:c>
      <x:c r="H440" s="13" t="str">
        <x:v>-</x:v>
      </x:c>
      <x:c r="I440" s="13" t="str">
        <x:v>Synthetic example: complaint indicates an existing court/prosecutor filing; barangay should not mediate as new KP case.</x:v>
      </x:c>
      <x:c r="J440" s="13" t="str">
        <x:v>Refer</x:v>
      </x:c>
      <x:c r="K440" s="13" t="str">
        <x:v>NON_KP_REFERRAL</x:v>
      </x:c>
      <x:c r="L440" s="13" t="str">
        <x:v>Not KP; already filed in court/prosecutor</x:v>
      </x:c>
      <x:c r="M440" s="13" t="str">
        <x:v>Do not docket as new KP mediation; note existing case and refer to court/prosecutor process</x:v>
      </x:c>
      <x:c r="N440" s="13" t="str">
        <x:v>Matter already filed in court/prosecutor is outside barangay conciliation.</x:v>
      </x:c>
      <x:c r="O440" s="13" t="str"/>
      <x:c r="P440" s="13" t="str">
        <x:v>Property dispute na may pending injunction case</x:v>
      </x:c>
      <x:c r="Q440" s="13" t="str">
        <x:v>Added to balance 'already-filed-in-court' to 49 examples using the same Justice KP label schema.</x:v>
      </x:c>
      <x:c r="R440" s="13" t="str">
        <x:v>Synthetic row based on category coverage gap from uploaded PDF</x:v>
      </x:c>
    </x:row>
    <x:row r="441" ht="36" customHeight="1">
      <x:c r="A441" s="13" t="str">
        <x:v>SYN-COURT-048</x:v>
      </x:c>
      <x:c r="B441" s="13" t="str">
        <x:v>already-filed-in-court</x:v>
      </x:c>
      <x:c r="C441" s="13" t="str">
        <x:v>Synthetic</x:v>
      </x:c>
      <x:c r="D441" s="13" t="str"/>
      <x:c r="E441" s="13" t="str">
        <x:v>Disqualified</x:v>
      </x:c>
      <x:c r="F441" s="13" t="str">
        <x:v>Defamation complaint na na-file na sa prosecutor</x:v>
      </x:c>
      <x:c r="G441" s="13" t="str">
        <x:v>June 1, 2026</x:v>
      </x:c>
      <x:c r="H441" s="13" t="str">
        <x:v>-</x:v>
      </x:c>
      <x:c r="I441" s="13" t="str">
        <x:v>Synthetic example: complaint indicates an existing court/prosecutor filing; barangay should not mediate as new KP case.</x:v>
      </x:c>
      <x:c r="J441" s="13" t="str">
        <x:v>Refer</x:v>
      </x:c>
      <x:c r="K441" s="13" t="str">
        <x:v>NON_KP_REFERRAL</x:v>
      </x:c>
      <x:c r="L441" s="13" t="str">
        <x:v>Not KP; already filed in court/prosecutor</x:v>
      </x:c>
      <x:c r="M441" s="13" t="str">
        <x:v>Do not docket as new KP mediation; note existing case and refer to court/prosecutor process</x:v>
      </x:c>
      <x:c r="N441" s="13" t="str">
        <x:v>Matter already filed in court/prosecutor is outside barangay conciliation.</x:v>
      </x:c>
      <x:c r="O441" s="13" t="str"/>
      <x:c r="P441" s="13" t="str">
        <x:v>Defamation complaint na na-file na sa prosecutor</x:v>
      </x:c>
      <x:c r="Q441" s="13" t="str">
        <x:v>Added to balance 'already-filed-in-court' to 49 examples using the same Justice KP label schema.</x:v>
      </x:c>
      <x:c r="R441" s="13" t="str">
        <x:v>Synthetic row based on category coverage gap from uploaded PDF</x:v>
      </x:c>
    </x:row>
    <x:row r="442" ht="36" customHeight="1">
      <x:c r="A442" s="13" t="str">
        <x:v>SYN-COURT-049</x:v>
      </x:c>
      <x:c r="B442" s="13" t="str">
        <x:v>already-filed-in-court</x:v>
      </x:c>
      <x:c r="C442" s="13" t="str">
        <x:v>Synthetic</x:v>
      </x:c>
      <x:c r="D442" s="13" t="str"/>
      <x:c r="E442" s="13" t="str">
        <x:v>Disqualified</x:v>
      </x:c>
      <x:c r="F442" s="13" t="str">
        <x:v>Collection case na may scheduled court hearing</x:v>
      </x:c>
      <x:c r="G442" s="13" t="str">
        <x:v>June 4, 2026</x:v>
      </x:c>
      <x:c r="H442" s="13" t="str">
        <x:v>-</x:v>
      </x:c>
      <x:c r="I442" s="13" t="str">
        <x:v>Synthetic example: complaint indicates an existing court/prosecutor filing; barangay should not mediate as new KP case.</x:v>
      </x:c>
      <x:c r="J442" s="13" t="str">
        <x:v>Refer</x:v>
      </x:c>
      <x:c r="K442" s="13" t="str">
        <x:v>NON_KP_REFERRAL</x:v>
      </x:c>
      <x:c r="L442" s="13" t="str">
        <x:v>Not KP; already filed in court/prosecutor</x:v>
      </x:c>
      <x:c r="M442" s="13" t="str">
        <x:v>Do not docket as new KP mediation; note existing case and refer to court/prosecutor process</x:v>
      </x:c>
      <x:c r="N442" s="13" t="str">
        <x:v>Matter already filed in court/prosecutor is outside barangay conciliation.</x:v>
      </x:c>
      <x:c r="O442" s="13" t="str"/>
      <x:c r="P442" s="13" t="str">
        <x:v>Collection case na may scheduled court hearing</x:v>
      </x:c>
      <x:c r="Q442" s="13" t="str">
        <x:v>Added to balance 'already-filed-in-court' to 49 examples using the same Justice KP label schema.</x:v>
      </x:c>
      <x:c r="R442" s="13" t="str">
        <x:v>Synthetic row based on category coverage gap from uploaded PDF</x:v>
      </x:c>
    </x:row>
    <x:row r="443" ht="36" customHeight="1">
      <x:c r="A443" s="13" t="str">
        <x:v>KP-25-005-PSWT</x:v>
      </x:c>
      <x:c r="B443" s="13" t="str">
        <x:v>penalty-over-1-year</x:v>
      </x:c>
      <x:c r="C443" s="13" t="str">
        <x:v>Real PDF</x:v>
      </x:c>
      <x:c r="D443" s="13" t="str">
        <x:v>KP-25-005-PSWT</x:v>
      </x:c>
      <x:c r="E443" s="13" t="str">
        <x:v>Criminal</x:v>
      </x:c>
      <x:c r="F443" s="13" t="str">
        <x:v>Pagnanakaw ng panabong na manok</x:v>
      </x:c>
      <x:c r="G443" s="13" t="str">
        <x:v>January 6, 2025</x:v>
      </x:c>
      <x:c r="H443" s="13" t="str">
        <x:v>-</x:v>
      </x:c>
      <x:c r="I443" s="13" t="str">
        <x:v>Walang paghaharap na nangyari at hindi dumating ang ipinagsumbong</x:v>
      </x:c>
      <x:c r="J443" s="13" t="str">
        <x:v>Endorsed</x:v>
      </x:c>
      <x:c r="K443" s="13" t="str">
        <x:v>NON_KP_REFERRAL</x:v>
      </x:c>
      <x:c r="L443" s="13" t="str">
        <x:v>Not KP due to legal threshold or serious offense</x:v>
      </x:c>
      <x:c r="M443" s="13" t="str">
        <x:v>Refer to PNP/prosecutor/court or proper agency</x:v>
      </x:c>
      <x:c r="N443" s="13" t="str">
        <x:v>Nature suggests offense that may exceed KP penalty threshold or requires prosecutor/police/legal review.</x:v>
      </x:c>
      <x:c r="O443" s="13" t="str"/>
      <x:c r="P443" s="13" t="str">
        <x:v>Pagnanakaw ng panabong na manok</x:v>
      </x:c>
      <x:c r="Q443" s="13" t="str"/>
      <x:c r="R443" s="13" t="str">
        <x:v>KP CASE PSWT - Sheet1 - KP CASE PSWT - Sheet1.pdf</x:v>
      </x:c>
    </x:row>
    <x:row r="444" ht="36" customHeight="1">
      <x:c r="A444" s="13" t="str">
        <x:v>KP-25-006-PSWT</x:v>
      </x:c>
      <x:c r="B444" s="13" t="str">
        <x:v>penalty-over-1-year</x:v>
      </x:c>
      <x:c r="C444" s="13" t="str">
        <x:v>Real PDF</x:v>
      </x:c>
      <x:c r="D444" s="13" t="str">
        <x:v>KP-25-006-PSWT</x:v>
      </x:c>
      <x:c r="E444" s="13" t="str">
        <x:v>Criminal</x:v>
      </x:c>
      <x:c r="F444" s="13" t="str">
        <x:v>Pagnanakaw ng panabong na manok</x:v>
      </x:c>
      <x:c r="G444" s="13" t="str">
        <x:v>January 6, 2025</x:v>
      </x:c>
      <x:c r="H444" s="13" t="str">
        <x:v>-</x:v>
      </x:c>
      <x:c r="I444" s="13" t="str">
        <x:v>Walang paghaharap na nangyari at hindi dumating ang ipinagsumbong</x:v>
      </x:c>
      <x:c r="J444" s="13" t="str">
        <x:v>Endorsed</x:v>
      </x:c>
      <x:c r="K444" s="13" t="str">
        <x:v>NON_KP_REFERRAL</x:v>
      </x:c>
      <x:c r="L444" s="13" t="str">
        <x:v>Not KP due to legal threshold or serious offense</x:v>
      </x:c>
      <x:c r="M444" s="13" t="str">
        <x:v>Refer to PNP/prosecutor/court or proper agency</x:v>
      </x:c>
      <x:c r="N444" s="13" t="str">
        <x:v>Nature suggests offense that may exceed KP penalty threshold or requires prosecutor/police/legal review.</x:v>
      </x:c>
      <x:c r="O444" s="13" t="str"/>
      <x:c r="P444" s="13" t="str">
        <x:v>Pagnanakaw ng panabong na manok</x:v>
      </x:c>
      <x:c r="Q444" s="13" t="str"/>
      <x:c r="R444" s="13" t="str">
        <x:v>KP CASE PSWT - Sheet1 - KP CASE PSWT - Sheet1.pdf</x:v>
      </x:c>
    </x:row>
    <x:row r="445" ht="36" customHeight="1">
      <x:c r="A445" s="13" t="str">
        <x:v>KP-25-016-PSWT</x:v>
      </x:c>
      <x:c r="B445" s="13" t="str">
        <x:v>penalty-over-1-year</x:v>
      </x:c>
      <x:c r="C445" s="13" t="str">
        <x:v>Real PDF</x:v>
      </x:c>
      <x:c r="D445" s="13" t="str">
        <x:v>KP-25-016-PSWT</x:v>
      </x:c>
      <x:c r="E445" s="13" t="str">
        <x:v>Criminal</x:v>
      </x:c>
      <x:c r="F445" s="13" t="str">
        <x:v>Pananaga ng itak</x:v>
      </x:c>
      <x:c r="G445" s="13" t="str">
        <x:v>February 2, 2025</x:v>
      </x:c>
      <x:c r="H445" s="13" t="str">
        <x:v>-</x:v>
      </x:c>
      <x:c r="I445" s="13" t="str">
        <x:v>Nagkaroon ng paghaharap subalit walang pagkakasundo. At ang maysumbong ay hindi na bumalik.</x:v>
      </x:c>
      <x:c r="J445" s="13" t="str">
        <x:v>Dismiss</x:v>
      </x:c>
      <x:c r="K445" s="13" t="str">
        <x:v>NON_KP_REFERRAL</x:v>
      </x:c>
      <x:c r="L445" s="13" t="str">
        <x:v>Not KP due to legal threshold or serious offense</x:v>
      </x:c>
      <x:c r="M445" s="13" t="str">
        <x:v>Refer to PNP/prosecutor/court or proper agency</x:v>
      </x:c>
      <x:c r="N445" s="13" t="str">
        <x:v>Nature suggests offense that may exceed KP penalty threshold or requires prosecutor/police/legal review.</x:v>
      </x:c>
      <x:c r="O445" s="13" t="str"/>
      <x:c r="P445" s="13" t="str">
        <x:v>Pananaga ng itak</x:v>
      </x:c>
      <x:c r="Q445" s="13" t="str"/>
      <x:c r="R445" s="13" t="str">
        <x:v>KP CASE PSWT - Sheet1 - KP CASE PSWT - Sheet1.pdf</x:v>
      </x:c>
    </x:row>
    <x:row r="446" ht="36" customHeight="1">
      <x:c r="A446" s="13" t="str">
        <x:v>KP-25-024-PSWT</x:v>
      </x:c>
      <x:c r="B446" s="13" t="str">
        <x:v>penalty-over-1-year</x:v>
      </x:c>
      <x:c r="C446" s="13" t="str">
        <x:v>Real PDF</x:v>
      </x:c>
      <x:c r="D446" s="13" t="str">
        <x:v>KP-25-024-PSWT</x:v>
      </x:c>
      <x:c r="E446" s="13" t="str">
        <x:v>Criminal</x:v>
      </x:c>
      <x:c r="F446" s="13" t="str">
        <x:v>Binunutan ng ice pick</x:v>
      </x:c>
      <x:c r="G446" s="13" t="str">
        <x:v>March 4, 2025</x:v>
      </x:c>
      <x:c r="H446" s="13" t="str">
        <x:v>March 7, 2025</x:v>
      </x:c>
      <x:c r="I446" s="13" t="str">
        <x:v>Nagkaroon ng pagkakasundo humingi ng pasensya ang bawat isa sa nangyari.</x:v>
      </x:c>
      <x:c r="J446" s="13" t="str">
        <x:v>Settled</x:v>
      </x:c>
      <x:c r="K446" s="13" t="str">
        <x:v>NON_KP_REFERRAL</x:v>
      </x:c>
      <x:c r="L446" s="13" t="str">
        <x:v>Not KP due to legal threshold or serious offense</x:v>
      </x:c>
      <x:c r="M446" s="13" t="str">
        <x:v>Refer to PNP/prosecutor/court or proper agency</x:v>
      </x:c>
      <x:c r="N446" s="13" t="str">
        <x:v>Nature suggests offense that may exceed KP penalty threshold or requires prosecutor/police/legal review.</x:v>
      </x:c>
      <x:c r="O446" s="13" t="str"/>
      <x:c r="P446" s="13" t="str">
        <x:v>Binunutan ng ice pick</x:v>
      </x:c>
      <x:c r="Q446" s="13" t="str"/>
      <x:c r="R446" s="13" t="str">
        <x:v>KP CASE PSWT - Sheet1 - KP CASE PSWT - Sheet1.pdf</x:v>
      </x:c>
    </x:row>
    <x:row r="447" ht="36" customHeight="1">
      <x:c r="A447" s="13" t="str">
        <x:v>KP-25-032-PSWT</x:v>
      </x:c>
      <x:c r="B447" s="13" t="str">
        <x:v>penalty-over-1-year</x:v>
      </x:c>
      <x:c r="C447" s="13" t="str">
        <x:v>Real PDF</x:v>
      </x:c>
      <x:c r="D447" s="13" t="str">
        <x:v>KP-25-032-PSWT</x:v>
      </x:c>
      <x:c r="E447" s="13" t="str">
        <x:v>Criminal</x:v>
      </x:c>
      <x:c r="F447" s="13" t="str">
        <x:v>Pamamasok ng bahay at pagkuha ng halagang P37,000</x:v>
      </x:c>
      <x:c r="G447" s="13" t="str">
        <x:v>March 24, 2025</x:v>
      </x:c>
      <x:c r="H447" s="13" t="str">
        <x:v>-</x:v>
      </x:c>
      <x:c r="I447" s="13" t="str">
        <x:v>Hindi magkausap ng maayos sa dahilang pabago-bago ng sinasabi ang maysumbong.</x:v>
      </x:c>
      <x:c r="J447" s="13" t="str">
        <x:v>Pending</x:v>
      </x:c>
      <x:c r="K447" s="13" t="str">
        <x:v>NON_KP_REFERRAL</x:v>
      </x:c>
      <x:c r="L447" s="13" t="str">
        <x:v>Not KP due to legal threshold or serious offense</x:v>
      </x:c>
      <x:c r="M447" s="13" t="str">
        <x:v>Refer to PNP/prosecutor/court or proper agency</x:v>
      </x:c>
      <x:c r="N447" s="13" t="str">
        <x:v>Nature suggests offense that may exceed KP penalty threshold or requires prosecutor/police/legal review.</x:v>
      </x:c>
      <x:c r="O447" s="13" t="str">
        <x:v>P37,000</x:v>
      </x:c>
      <x:c r="P447" s="13" t="str">
        <x:v>Pamamasok ng bahay at pagkuha ng halagang P37,000</x:v>
      </x:c>
      <x:c r="Q447" s="13" t="str"/>
      <x:c r="R447" s="13" t="str">
        <x:v>KP CASE PSWT - Sheet1 - KP CASE PSWT - Sheet1.pdf</x:v>
      </x:c>
    </x:row>
    <x:row r="448" ht="36" customHeight="1">
      <x:c r="A448" s="13" t="str">
        <x:v>KP-25-034-PSWT</x:v>
      </x:c>
      <x:c r="B448" s="13" t="str">
        <x:v>penalty-over-1-year</x:v>
      </x:c>
      <x:c r="C448" s="13" t="str">
        <x:v>Real PDF</x:v>
      </x:c>
      <x:c r="D448" s="13" t="str">
        <x:v>KP-25-034-PSWT</x:v>
      </x:c>
      <x:c r="E448" s="13" t="str">
        <x:v>Criminal</x:v>
      </x:c>
      <x:c r="F448" s="13" t="str">
        <x:v>Pamamasok sa loob ng bahay</x:v>
      </x:c>
      <x:c r="G448" s="13" t="str">
        <x:v>March 28, 2025</x:v>
      </x:c>
      <x:c r="H448" s="13" t="str">
        <x:v>June 2, 2025</x:v>
      </x:c>
      <x:c r="I448" s="13" t="str">
        <x:v>Nagkaroon ng pagkakasundo na magbibigay ng danyos ang ipinagsumbong ng halagang P5, 000. At pakiusap ng maysumbong na huwag ng pupunta sa bahay nila.</x:v>
      </x:c>
      <x:c r="J448" s="13" t="str">
        <x:v>Settled</x:v>
      </x:c>
      <x:c r="K448" s="13" t="str">
        <x:v>NON_KP_REFERRAL</x:v>
      </x:c>
      <x:c r="L448" s="13" t="str">
        <x:v>Not KP due to legal threshold or serious offense</x:v>
      </x:c>
      <x:c r="M448" s="13" t="str">
        <x:v>Refer to PNP/prosecutor/court or proper agency</x:v>
      </x:c>
      <x:c r="N448" s="13" t="str">
        <x:v>Nature suggests offense that may exceed KP penalty threshold or requires prosecutor/police/legal review.</x:v>
      </x:c>
      <x:c r="O448" s="13" t="str">
        <x:v>P5,</x:v>
      </x:c>
      <x:c r="P448" s="13" t="str">
        <x:v>Pamamasok sa loob ng bahay</x:v>
      </x:c>
      <x:c r="Q448" s="13" t="str"/>
      <x:c r="R448" s="13" t="str">
        <x:v>KP CASE PSWT - Sheet1 - KP CASE PSWT - Sheet1.pdf</x:v>
      </x:c>
    </x:row>
    <x:row r="449" ht="36" customHeight="1">
      <x:c r="A449" s="13" t="str">
        <x:v>KP-25-038-PSWT</x:v>
      </x:c>
      <x:c r="B449" s="13" t="str">
        <x:v>penalty-over-1-year</x:v>
      </x:c>
      <x:c r="C449" s="13" t="str">
        <x:v>Real PDF</x:v>
      </x:c>
      <x:c r="D449" s="13" t="str">
        <x:v>KP-25-038-PSWT</x:v>
      </x:c>
      <x:c r="E449" s="13" t="str">
        <x:v>Criminal</x:v>
      </x:c>
      <x:c r="F449" s="13" t="str">
        <x:v>Estafa</x:v>
      </x:c>
      <x:c r="G449" s="13" t="str">
        <x:v>April 29, 2025</x:v>
      </x:c>
      <x:c r="H449" s="13" t="str">
        <x:v>-</x:v>
      </x:c>
      <x:c r="I449" s="13" t="str">
        <x:v>Walang pagkakasundo sa dalawang panig kaya't ang maysumbong ay may karapatan ng maghain ng kaukulang reklamo sa kinauukulang tanggapan.</x:v>
      </x:c>
      <x:c r="J449" s="13" t="str">
        <x:v>Endorsed</x:v>
      </x:c>
      <x:c r="K449" s="13" t="str">
        <x:v>NON_KP_REFERRAL</x:v>
      </x:c>
      <x:c r="L449" s="13" t="str">
        <x:v>Not KP due to legal threshold or serious offense</x:v>
      </x:c>
      <x:c r="M449" s="13" t="str">
        <x:v>Refer to PNP/prosecutor/court or proper agency</x:v>
      </x:c>
      <x:c r="N449" s="13" t="str">
        <x:v>Nature suggests offense that may exceed KP penalty threshold or requires prosecutor/police/legal review.</x:v>
      </x:c>
      <x:c r="O449" s="13" t="str"/>
      <x:c r="P449" s="13" t="str">
        <x:v>Estafa</x:v>
      </x:c>
      <x:c r="Q449" s="13" t="str"/>
      <x:c r="R449" s="13" t="str">
        <x:v>KP CASE PSWT - Sheet1 - KP CASE PSWT - Sheet1.pdf</x:v>
      </x:c>
    </x:row>
    <x:row r="450" ht="36" customHeight="1">
      <x:c r="A450" s="13" t="str">
        <x:v>KP-25-054-PSWT</x:v>
      </x:c>
      <x:c r="B450" s="13" t="str">
        <x:v>penalty-over-1-year</x:v>
      </x:c>
      <x:c r="C450" s="13" t="str">
        <x:v>Real PDF</x:v>
      </x:c>
      <x:c r="D450" s="13" t="str">
        <x:v>KP-25-054-PSWT</x:v>
      </x:c>
      <x:c r="E450" s="13" t="str">
        <x:v>Criminal</x:v>
      </x:c>
      <x:c r="F450" s="13" t="str">
        <x:v>Tangkang pagnanakaw</x:v>
      </x:c>
      <x:c r="G450" s="13" t="str">
        <x:v>June 13, 2025</x:v>
      </x:c>
      <x:c r="H450" s="13" t="str">
        <x:v>-</x:v>
      </x:c>
      <x:c r="I450" s="13" t="str">
        <x:v>Walang pagkakasundo at hindi na dumating ang maysumbong.</x:v>
      </x:c>
      <x:c r="J450" s="13" t="str">
        <x:v>Dismiss</x:v>
      </x:c>
      <x:c r="K450" s="13" t="str">
        <x:v>NON_KP_REFERRAL</x:v>
      </x:c>
      <x:c r="L450" s="13" t="str">
        <x:v>Not KP due to legal threshold or serious offense</x:v>
      </x:c>
      <x:c r="M450" s="13" t="str">
        <x:v>Refer to PNP/prosecutor/court or proper agency</x:v>
      </x:c>
      <x:c r="N450" s="13" t="str">
        <x:v>Nature suggests offense that may exceed KP penalty threshold or requires prosecutor/police/legal review.</x:v>
      </x:c>
      <x:c r="O450" s="13" t="str"/>
      <x:c r="P450" s="13" t="str">
        <x:v>Tangkang pagnanakaw</x:v>
      </x:c>
      <x:c r="Q450" s="13" t="str"/>
      <x:c r="R450" s="13" t="str">
        <x:v>KP CASE PSWT - Sheet1 - KP CASE PSWT - Sheet1.pdf</x:v>
      </x:c>
    </x:row>
    <x:row r="451" ht="36" customHeight="1">
      <x:c r="A451" s="13" t="str">
        <x:v>KP-25-071-PSWT</x:v>
      </x:c>
      <x:c r="B451" s="13" t="str">
        <x:v>penalty-over-1-year</x:v>
      </x:c>
      <x:c r="C451" s="13" t="str">
        <x:v>Real PDF</x:v>
      </x:c>
      <x:c r="D451" s="13" t="str">
        <x:v>KP-25-071-PSWT</x:v>
      </x:c>
      <x:c r="E451" s="13" t="str">
        <x:v>Criminal</x:v>
      </x:c>
      <x:c r="F451" s="13" t="str">
        <x:v>Pagnanakaw ng kuryente at paninira ng pintuan</x:v>
      </x:c>
      <x:c r="G451" s="13" t="str">
        <x:v>August 11, 2025</x:v>
      </x:c>
      <x:c r="H451" s="13" t="str">
        <x:v>-</x:v>
      </x:c>
      <x:c r="I451" s="13" t="str">
        <x:v>Nagkaroon ng unang patawag subalit sa pangalawang patawag hindi dumating ang maysumbong.</x:v>
      </x:c>
      <x:c r="J451" s="13" t="str">
        <x:v>Dismiss</x:v>
      </x:c>
      <x:c r="K451" s="13" t="str">
        <x:v>NON_KP_REFERRAL</x:v>
      </x:c>
      <x:c r="L451" s="13" t="str">
        <x:v>Not KP due to legal threshold or serious offense</x:v>
      </x:c>
      <x:c r="M451" s="13" t="str">
        <x:v>Refer to PNP/prosecutor/court or proper agency</x:v>
      </x:c>
      <x:c r="N451" s="13" t="str">
        <x:v>Nature suggests offense that may exceed KP penalty threshold or requires prosecutor/police/legal review.</x:v>
      </x:c>
      <x:c r="O451" s="13" t="str"/>
      <x:c r="P451" s="13" t="str">
        <x:v>Pagnanakaw ng kuryente at paninira ng pintuan</x:v>
      </x:c>
      <x:c r="Q451" s="13" t="str"/>
      <x:c r="R451" s="13" t="str">
        <x:v>KP CASE PSWT - Sheet1 - KP CASE PSWT - Sheet1.pdf</x:v>
      </x:c>
    </x:row>
    <x:row r="452" ht="36" customHeight="1">
      <x:c r="A452" s="13" t="str">
        <x:v>KP-25-088-PSWT</x:v>
      </x:c>
      <x:c r="B452" s="13" t="str">
        <x:v>penalty-over-1-year</x:v>
      </x:c>
      <x:c r="C452" s="13" t="str">
        <x:v>Real PDF</x:v>
      </x:c>
      <x:c r="D452" s="13" t="str">
        <x:v>KP-25-088-PSWT</x:v>
      </x:c>
      <x:c r="E452" s="13" t="str">
        <x:v>Criminal</x:v>
      </x:c>
      <x:c r="F452" s="13" t="str">
        <x:v>Libel and falsification of documents</x:v>
      </x:c>
      <x:c r="G452" s="13" t="str">
        <x:v>October 9, 2025</x:v>
      </x:c>
      <x:c r="H452" s="13" t="str">
        <x:v>-</x:v>
      </x:c>
      <x:c r="I452" s="13" t="str">
        <x:v>Ang ipinagsumbong ay hindi nadating sa araw ng paghaharap kaya't ang maysumbong ay may karapatan ng maghain ng kaukulang reklamo sa kinauukulang tanggapan.</x:v>
      </x:c>
      <x:c r="J452" s="13" t="str">
        <x:v>Endorsed</x:v>
      </x:c>
      <x:c r="K452" s="13" t="str">
        <x:v>NON_KP_REFERRAL</x:v>
      </x:c>
      <x:c r="L452" s="13" t="str">
        <x:v>Not KP due to legal threshold or serious offense</x:v>
      </x:c>
      <x:c r="M452" s="13" t="str">
        <x:v>Refer to PNP/prosecutor/court or proper agency</x:v>
      </x:c>
      <x:c r="N452" s="13" t="str">
        <x:v>Nature suggests offense that may exceed KP penalty threshold or requires prosecutor/police/legal review.</x:v>
      </x:c>
      <x:c r="O452" s="13" t="str"/>
      <x:c r="P452" s="13" t="str">
        <x:v>Libel and falsification of documents</x:v>
      </x:c>
      <x:c r="Q452" s="13" t="str"/>
      <x:c r="R452" s="13" t="str">
        <x:v>KP CASE PSWT - Sheet1 - KP CASE PSWT - Sheet1.pdf</x:v>
      </x:c>
    </x:row>
    <x:row r="453" ht="36" customHeight="1">
      <x:c r="A453" s="13" t="str">
        <x:v>SYN-PEN1Y-001</x:v>
      </x:c>
      <x:c r="B453" s="13" t="str">
        <x:v>penalty-over-1-year</x:v>
      </x:c>
      <x:c r="C453" s="13" t="str">
        <x:v>Synthetic</x:v>
      </x:c>
      <x:c r="D453" s="13" t="str"/>
      <x:c r="E453" s="13" t="str">
        <x:v>Criminal</x:v>
      </x:c>
      <x:c r="F453" s="13" t="str">
        <x:v>Serious physical injury na may medical certificate at posibleng mabigat na parusa</x:v>
      </x:c>
      <x:c r="G453" s="13" t="str">
        <x:v>January 12, 2026</x:v>
      </x:c>
      <x:c r="H453" s="13" t="str">
        <x:v>-</x:v>
      </x:c>
      <x:c r="I453" s="13" t="str">
        <x:v>Synthetic example: alleged offense may exceed one-year penalty threshold; refer for legal/prosecutorial handling.</x:v>
      </x:c>
      <x:c r="J453" s="13" t="str">
        <x:v>Refer</x:v>
      </x:c>
      <x:c r="K453" s="13" t="str">
        <x:v>NON_KP_REFERRAL</x:v>
      </x:c>
      <x:c r="L453" s="13" t="str">
        <x:v>Not KP; penalty threshold exceeded</x:v>
      </x:c>
      <x:c r="M453" s="13" t="str">
        <x:v>Refer to PNP/prosecutor/court or proper authority</x:v>
      </x:c>
      <x:c r="N453" s="13" t="str">
        <x:v>Potential penalty exceeds the one-year KP threshold.</x:v>
      </x:c>
      <x:c r="O453" s="13" t="str">
        <x:v>Possible penalty 18 months</x:v>
      </x:c>
      <x:c r="P453" s="13" t="str">
        <x:v>Serious physical injury na may medical certificate at posibleng mabigat na parusa</x:v>
      </x:c>
      <x:c r="Q453" s="13" t="str">
        <x:v>Added to balance 'penalty-over-1-year' to 49 examples using the same Justice KP label schema.</x:v>
      </x:c>
      <x:c r="R453" s="13" t="str">
        <x:v>Synthetic row based on category coverage gap from uploaded PDF</x:v>
      </x:c>
    </x:row>
    <x:row r="454" ht="36" customHeight="1">
      <x:c r="A454" s="13" t="str">
        <x:v>SYN-PEN1Y-002</x:v>
      </x:c>
      <x:c r="B454" s="13" t="str">
        <x:v>penalty-over-1-year</x:v>
      </x:c>
      <x:c r="C454" s="13" t="str">
        <x:v>Synthetic</x:v>
      </x:c>
      <x:c r="D454" s="13" t="str"/>
      <x:c r="E454" s="13" t="str">
        <x:v>Criminal</x:v>
      </x:c>
      <x:c r="F454" s="13" t="str">
        <x:v>Pagnanakaw ng mamahaling gamit na lampas sa simpleng barangay dispute</x:v>
      </x:c>
      <x:c r="G454" s="13" t="str">
        <x:v>January 15, 2026</x:v>
      </x:c>
      <x:c r="H454" s="13" t="str">
        <x:v>-</x:v>
      </x:c>
      <x:c r="I454" s="13" t="str">
        <x:v>Synthetic example: alleged offense may exceed one-year penalty threshold; refer for legal/prosecutorial handling.</x:v>
      </x:c>
      <x:c r="J454" s="13" t="str">
        <x:v>Refer</x:v>
      </x:c>
      <x:c r="K454" s="13" t="str">
        <x:v>NON_KP_REFERRAL</x:v>
      </x:c>
      <x:c r="L454" s="13" t="str">
        <x:v>Not KP; penalty threshold exceeded</x:v>
      </x:c>
      <x:c r="M454" s="13" t="str">
        <x:v>Refer to PNP/prosecutor/court or proper authority</x:v>
      </x:c>
      <x:c r="N454" s="13" t="str">
        <x:v>Potential penalty exceeds the one-year KP threshold.</x:v>
      </x:c>
      <x:c r="O454" s="13" t="str">
        <x:v>Possible penalty 24 months</x:v>
      </x:c>
      <x:c r="P454" s="13" t="str">
        <x:v>Pagnanakaw ng mamahaling gamit na lampas sa simpleng barangay dispute</x:v>
      </x:c>
      <x:c r="Q454" s="13" t="str">
        <x:v>Added to balance 'penalty-over-1-year' to 49 examples using the same Justice KP label schema.</x:v>
      </x:c>
      <x:c r="R454" s="13" t="str">
        <x:v>Synthetic row based on category coverage gap from uploaded PDF</x:v>
      </x:c>
    </x:row>
    <x:row r="455" ht="36" customHeight="1">
      <x:c r="A455" s="13" t="str">
        <x:v>SYN-PEN1Y-003</x:v>
      </x:c>
      <x:c r="B455" s="13" t="str">
        <x:v>penalty-over-1-year</x:v>
      </x:c>
      <x:c r="C455" s="13" t="str">
        <x:v>Synthetic</x:v>
      </x:c>
      <x:c r="D455" s="13" t="str"/>
      <x:c r="E455" s="13" t="str">
        <x:v>Criminal</x:v>
      </x:c>
      <x:c r="F455" s="13" t="str">
        <x:v>Pananaksak o paggamit ng patalim sa away</x:v>
      </x:c>
      <x:c r="G455" s="13" t="str">
        <x:v>January 18, 2026</x:v>
      </x:c>
      <x:c r="H455" s="13" t="str">
        <x:v>-</x:v>
      </x:c>
      <x:c r="I455" s="13" t="str">
        <x:v>Synthetic example: alleged offense may exceed one-year penalty threshold; refer for legal/prosecutorial handling.</x:v>
      </x:c>
      <x:c r="J455" s="13" t="str">
        <x:v>Refer</x:v>
      </x:c>
      <x:c r="K455" s="13" t="str">
        <x:v>NON_KP_REFERRAL</x:v>
      </x:c>
      <x:c r="L455" s="13" t="str">
        <x:v>Not KP; penalty threshold exceeded</x:v>
      </x:c>
      <x:c r="M455" s="13" t="str">
        <x:v>Refer to PNP/prosecutor/court or proper authority</x:v>
      </x:c>
      <x:c r="N455" s="13" t="str">
        <x:v>Potential penalty exceeds the one-year KP threshold.</x:v>
      </x:c>
      <x:c r="O455" s="13" t="str">
        <x:v>Possible penalty 36 months</x:v>
      </x:c>
      <x:c r="P455" s="13" t="str">
        <x:v>Pananaksak o paggamit ng patalim sa away</x:v>
      </x:c>
      <x:c r="Q455" s="13" t="str">
        <x:v>Added to balance 'penalty-over-1-year' to 49 examples using the same Justice KP label schema.</x:v>
      </x:c>
      <x:c r="R455" s="13" t="str">
        <x:v>Synthetic row based on category coverage gap from uploaded PDF</x:v>
      </x:c>
    </x:row>
    <x:row r="456" ht="36" customHeight="1">
      <x:c r="A456" s="13" t="str">
        <x:v>SYN-PEN1Y-004</x:v>
      </x:c>
      <x:c r="B456" s="13" t="str">
        <x:v>penalty-over-1-year</x:v>
      </x:c>
      <x:c r="C456" s="13" t="str">
        <x:v>Synthetic</x:v>
      </x:c>
      <x:c r="D456" s="13" t="str"/>
      <x:c r="E456" s="13" t="str">
        <x:v>Criminal</x:v>
      </x:c>
      <x:c r="F456" s="13" t="str">
        <x:v>Falsification of public document complaint</x:v>
      </x:c>
      <x:c r="G456" s="13" t="str">
        <x:v>January 21, 2026</x:v>
      </x:c>
      <x:c r="H456" s="13" t="str">
        <x:v>-</x:v>
      </x:c>
      <x:c r="I456" s="13" t="str">
        <x:v>Synthetic example: alleged offense may exceed one-year penalty threshold; refer for legal/prosecutorial handling.</x:v>
      </x:c>
      <x:c r="J456" s="13" t="str">
        <x:v>Refer</x:v>
      </x:c>
      <x:c r="K456" s="13" t="str">
        <x:v>NON_KP_REFERRAL</x:v>
      </x:c>
      <x:c r="L456" s="13" t="str">
        <x:v>Not KP; penalty threshold exceeded</x:v>
      </x:c>
      <x:c r="M456" s="13" t="str">
        <x:v>Refer to PNP/prosecutor/court or proper authority</x:v>
      </x:c>
      <x:c r="N456" s="13" t="str">
        <x:v>Potential penalty exceeds the one-year KP threshold.</x:v>
      </x:c>
      <x:c r="O456" s="13" t="str">
        <x:v>Possible penalty 48 months</x:v>
      </x:c>
      <x:c r="P456" s="13" t="str">
        <x:v>Falsification of public document complaint</x:v>
      </x:c>
      <x:c r="Q456" s="13" t="str">
        <x:v>Added to balance 'penalty-over-1-year' to 49 examples using the same Justice KP label schema.</x:v>
      </x:c>
      <x:c r="R456" s="13" t="str">
        <x:v>Synthetic row based on category coverage gap from uploaded PDF</x:v>
      </x:c>
    </x:row>
    <x:row r="457" ht="36" customHeight="1">
      <x:c r="A457" s="13" t="str">
        <x:v>SYN-PEN1Y-005</x:v>
      </x:c>
      <x:c r="B457" s="13" t="str">
        <x:v>penalty-over-1-year</x:v>
      </x:c>
      <x:c r="C457" s="13" t="str">
        <x:v>Synthetic</x:v>
      </x:c>
      <x:c r="D457" s="13" t="str"/>
      <x:c r="E457" s="13" t="str">
        <x:v>Criminal</x:v>
      </x:c>
      <x:c r="F457" s="13" t="str">
        <x:v>Robbery complaint involving force or intimidation</x:v>
      </x:c>
      <x:c r="G457" s="13" t="str">
        <x:v>January 24, 2026</x:v>
      </x:c>
      <x:c r="H457" s="13" t="str">
        <x:v>-</x:v>
      </x:c>
      <x:c r="I457" s="13" t="str">
        <x:v>Synthetic example: alleged offense may exceed one-year penalty threshold; refer for legal/prosecutorial handling.</x:v>
      </x:c>
      <x:c r="J457" s="13" t="str">
        <x:v>Refer</x:v>
      </x:c>
      <x:c r="K457" s="13" t="str">
        <x:v>NON_KP_REFERRAL</x:v>
      </x:c>
      <x:c r="L457" s="13" t="str">
        <x:v>Not KP; penalty threshold exceeded</x:v>
      </x:c>
      <x:c r="M457" s="13" t="str">
        <x:v>Refer to PNP/prosecutor/court or proper authority</x:v>
      </x:c>
      <x:c r="N457" s="13" t="str">
        <x:v>Potential penalty exceeds the one-year KP threshold.</x:v>
      </x:c>
      <x:c r="O457" s="13" t="str">
        <x:v>Possible penalty 72 months</x:v>
      </x:c>
      <x:c r="P457" s="13" t="str">
        <x:v>Robbery complaint involving force or intimidation</x:v>
      </x:c>
      <x:c r="Q457" s="13" t="str">
        <x:v>Added to balance 'penalty-over-1-year' to 49 examples using the same Justice KP label schema.</x:v>
      </x:c>
      <x:c r="R457" s="13" t="str">
        <x:v>Synthetic row based on category coverage gap from uploaded PDF</x:v>
      </x:c>
    </x:row>
    <x:row r="458" ht="36" customHeight="1">
      <x:c r="A458" s="13" t="str">
        <x:v>SYN-PEN1Y-006</x:v>
      </x:c>
      <x:c r="B458" s="13" t="str">
        <x:v>penalty-over-1-year</x:v>
      </x:c>
      <x:c r="C458" s="13" t="str">
        <x:v>Synthetic</x:v>
      </x:c>
      <x:c r="D458" s="13" t="str"/>
      <x:c r="E458" s="13" t="str">
        <x:v>Criminal</x:v>
      </x:c>
      <x:c r="F458" s="13" t="str">
        <x:v>Serious threats involving arson or deadly weapon</x:v>
      </x:c>
      <x:c r="G458" s="13" t="str">
        <x:v>January 27, 2026</x:v>
      </x:c>
      <x:c r="H458" s="13" t="str">
        <x:v>-</x:v>
      </x:c>
      <x:c r="I458" s="13" t="str">
        <x:v>Synthetic example: alleged offense may exceed one-year penalty threshold; refer for legal/prosecutorial handling.</x:v>
      </x:c>
      <x:c r="J458" s="13" t="str">
        <x:v>Refer</x:v>
      </x:c>
      <x:c r="K458" s="13" t="str">
        <x:v>NON_KP_REFERRAL</x:v>
      </x:c>
      <x:c r="L458" s="13" t="str">
        <x:v>Not KP; penalty threshold exceeded</x:v>
      </x:c>
      <x:c r="M458" s="13" t="str">
        <x:v>Refer to PNP/prosecutor/court or proper authority</x:v>
      </x:c>
      <x:c r="N458" s="13" t="str">
        <x:v>Potential penalty exceeds the one-year KP threshold.</x:v>
      </x:c>
      <x:c r="O458" s="13" t="str">
        <x:v>Possible penalty 18 months</x:v>
      </x:c>
      <x:c r="P458" s="13" t="str">
        <x:v>Serious threats involving arson or deadly weapon</x:v>
      </x:c>
      <x:c r="Q458" s="13" t="str">
        <x:v>Added to balance 'penalty-over-1-year' to 49 examples using the same Justice KP label schema.</x:v>
      </x:c>
      <x:c r="R458" s="13" t="str">
        <x:v>Synthetic row based on category coverage gap from uploaded PDF</x:v>
      </x:c>
    </x:row>
    <x:row r="459" ht="36" customHeight="1">
      <x:c r="A459" s="13" t="str">
        <x:v>SYN-PEN1Y-007</x:v>
      </x:c>
      <x:c r="B459" s="13" t="str">
        <x:v>penalty-over-1-year</x:v>
      </x:c>
      <x:c r="C459" s="13" t="str">
        <x:v>Synthetic</x:v>
      </x:c>
      <x:c r="D459" s="13" t="str"/>
      <x:c r="E459" s="13" t="str">
        <x:v>Criminal</x:v>
      </x:c>
      <x:c r="F459" s="13" t="str">
        <x:v>Qualified trespass with damage to property</x:v>
      </x:c>
      <x:c r="G459" s="13" t="str">
        <x:v>January 30, 2026</x:v>
      </x:c>
      <x:c r="H459" s="13" t="str">
        <x:v>-</x:v>
      </x:c>
      <x:c r="I459" s="13" t="str">
        <x:v>Synthetic example: alleged offense may exceed one-year penalty threshold; refer for legal/prosecutorial handling.</x:v>
      </x:c>
      <x:c r="J459" s="13" t="str">
        <x:v>Refer</x:v>
      </x:c>
      <x:c r="K459" s="13" t="str">
        <x:v>NON_KP_REFERRAL</x:v>
      </x:c>
      <x:c r="L459" s="13" t="str">
        <x:v>Not KP; penalty threshold exceeded</x:v>
      </x:c>
      <x:c r="M459" s="13" t="str">
        <x:v>Refer to PNP/prosecutor/court or proper authority</x:v>
      </x:c>
      <x:c r="N459" s="13" t="str">
        <x:v>Potential penalty exceeds the one-year KP threshold.</x:v>
      </x:c>
      <x:c r="O459" s="13" t="str">
        <x:v>Possible penalty 24 months</x:v>
      </x:c>
      <x:c r="P459" s="13" t="str">
        <x:v>Qualified trespass with damage to property</x:v>
      </x:c>
      <x:c r="Q459" s="13" t="str">
        <x:v>Added to balance 'penalty-over-1-year' to 49 examples using the same Justice KP label schema.</x:v>
      </x:c>
      <x:c r="R459" s="13" t="str">
        <x:v>Synthetic row based on category coverage gap from uploaded PDF</x:v>
      </x:c>
    </x:row>
    <x:row r="460" ht="36" customHeight="1">
      <x:c r="A460" s="13" t="str">
        <x:v>SYN-PEN1Y-008</x:v>
      </x:c>
      <x:c r="B460" s="13" t="str">
        <x:v>penalty-over-1-year</x:v>
      </x:c>
      <x:c r="C460" s="13" t="str">
        <x:v>Synthetic</x:v>
      </x:c>
      <x:c r="D460" s="13" t="str"/>
      <x:c r="E460" s="13" t="str">
        <x:v>Criminal</x:v>
      </x:c>
      <x:c r="F460" s="13" t="str">
        <x:v>Estafa complaint involving large amount and fraud</x:v>
      </x:c>
      <x:c r="G460" s="13" t="str">
        <x:v>February 2, 2026</x:v>
      </x:c>
      <x:c r="H460" s="13" t="str">
        <x:v>-</x:v>
      </x:c>
      <x:c r="I460" s="13" t="str">
        <x:v>Synthetic example: alleged offense may exceed one-year penalty threshold; refer for legal/prosecutorial handling.</x:v>
      </x:c>
      <x:c r="J460" s="13" t="str">
        <x:v>Refer</x:v>
      </x:c>
      <x:c r="K460" s="13" t="str">
        <x:v>NON_KP_REFERRAL</x:v>
      </x:c>
      <x:c r="L460" s="13" t="str">
        <x:v>Not KP; penalty threshold exceeded</x:v>
      </x:c>
      <x:c r="M460" s="13" t="str">
        <x:v>Refer to PNP/prosecutor/court or proper authority</x:v>
      </x:c>
      <x:c r="N460" s="13" t="str">
        <x:v>Potential penalty exceeds the one-year KP threshold.</x:v>
      </x:c>
      <x:c r="O460" s="13" t="str">
        <x:v>Possible penalty 36 months</x:v>
      </x:c>
      <x:c r="P460" s="13" t="str">
        <x:v>Estafa complaint involving large amount and fraud</x:v>
      </x:c>
      <x:c r="Q460" s="13" t="str">
        <x:v>Added to balance 'penalty-over-1-year' to 49 examples using the same Justice KP label schema.</x:v>
      </x:c>
      <x:c r="R460" s="13" t="str">
        <x:v>Synthetic row based on category coverage gap from uploaded PDF</x:v>
      </x:c>
    </x:row>
    <x:row r="461" ht="36" customHeight="1">
      <x:c r="A461" s="13" t="str">
        <x:v>SYN-PEN1Y-009</x:v>
      </x:c>
      <x:c r="B461" s="13" t="str">
        <x:v>penalty-over-1-year</x:v>
      </x:c>
      <x:c r="C461" s="13" t="str">
        <x:v>Synthetic</x:v>
      </x:c>
      <x:c r="D461" s="13" t="str"/>
      <x:c r="E461" s="13" t="str">
        <x:v>Criminal</x:v>
      </x:c>
      <x:c r="F461" s="13" t="str">
        <x:v>Theft of electricity with damage to meter</x:v>
      </x:c>
      <x:c r="G461" s="13" t="str">
        <x:v>February 5, 2026</x:v>
      </x:c>
      <x:c r="H461" s="13" t="str">
        <x:v>-</x:v>
      </x:c>
      <x:c r="I461" s="13" t="str">
        <x:v>Synthetic example: alleged offense may exceed one-year penalty threshold; refer for legal/prosecutorial handling.</x:v>
      </x:c>
      <x:c r="J461" s="13" t="str">
        <x:v>Refer</x:v>
      </x:c>
      <x:c r="K461" s="13" t="str">
        <x:v>NON_KP_REFERRAL</x:v>
      </x:c>
      <x:c r="L461" s="13" t="str">
        <x:v>Not KP; penalty threshold exceeded</x:v>
      </x:c>
      <x:c r="M461" s="13" t="str">
        <x:v>Refer to PNP/prosecutor/court or proper authority</x:v>
      </x:c>
      <x:c r="N461" s="13" t="str">
        <x:v>Potential penalty exceeds the one-year KP threshold.</x:v>
      </x:c>
      <x:c r="O461" s="13" t="str">
        <x:v>Possible penalty 48 months</x:v>
      </x:c>
      <x:c r="P461" s="13" t="str">
        <x:v>Theft of electricity with damage to meter</x:v>
      </x:c>
      <x:c r="Q461" s="13" t="str">
        <x:v>Added to balance 'penalty-over-1-year' to 49 examples using the same Justice KP label schema.</x:v>
      </x:c>
      <x:c r="R461" s="13" t="str">
        <x:v>Synthetic row based on category coverage gap from uploaded PDF</x:v>
      </x:c>
    </x:row>
    <x:row r="462" ht="36" customHeight="1">
      <x:c r="A462" s="13" t="str">
        <x:v>SYN-PEN1Y-010</x:v>
      </x:c>
      <x:c r="B462" s="13" t="str">
        <x:v>penalty-over-1-year</x:v>
      </x:c>
      <x:c r="C462" s="13" t="str">
        <x:v>Synthetic</x:v>
      </x:c>
      <x:c r="D462" s="13" t="str"/>
      <x:c r="E462" s="13" t="str">
        <x:v>Criminal</x:v>
      </x:c>
      <x:c r="F462" s="13" t="str">
        <x:v>Malicious mischief with major property damage</x:v>
      </x:c>
      <x:c r="G462" s="13" t="str">
        <x:v>February 8, 2026</x:v>
      </x:c>
      <x:c r="H462" s="13" t="str">
        <x:v>-</x:v>
      </x:c>
      <x:c r="I462" s="13" t="str">
        <x:v>Synthetic example: alleged offense may exceed one-year penalty threshold; refer for legal/prosecutorial handling.</x:v>
      </x:c>
      <x:c r="J462" s="13" t="str">
        <x:v>Refer</x:v>
      </x:c>
      <x:c r="K462" s="13" t="str">
        <x:v>NON_KP_REFERRAL</x:v>
      </x:c>
      <x:c r="L462" s="13" t="str">
        <x:v>Not KP; penalty threshold exceeded</x:v>
      </x:c>
      <x:c r="M462" s="13" t="str">
        <x:v>Refer to PNP/prosecutor/court or proper authority</x:v>
      </x:c>
      <x:c r="N462" s="13" t="str">
        <x:v>Potential penalty exceeds the one-year KP threshold.</x:v>
      </x:c>
      <x:c r="O462" s="13" t="str">
        <x:v>Possible penalty 72 months</x:v>
      </x:c>
      <x:c r="P462" s="13" t="str">
        <x:v>Malicious mischief with major property damage</x:v>
      </x:c>
      <x:c r="Q462" s="13" t="str">
        <x:v>Added to balance 'penalty-over-1-year' to 49 examples using the same Justice KP label schema.</x:v>
      </x:c>
      <x:c r="R462" s="13" t="str">
        <x:v>Synthetic row based on category coverage gap from uploaded PDF</x:v>
      </x:c>
    </x:row>
    <x:row r="463" ht="36" customHeight="1">
      <x:c r="A463" s="13" t="str">
        <x:v>SYN-PEN1Y-011</x:v>
      </x:c>
      <x:c r="B463" s="13" t="str">
        <x:v>penalty-over-1-year</x:v>
      </x:c>
      <x:c r="C463" s="13" t="str">
        <x:v>Synthetic</x:v>
      </x:c>
      <x:c r="D463" s="13" t="str"/>
      <x:c r="E463" s="13" t="str">
        <x:v>Criminal</x:v>
      </x:c>
      <x:c r="F463" s="13" t="str">
        <x:v>Serious physical injury na may medical certificate at posibleng mabigat na parusa</x:v>
      </x:c>
      <x:c r="G463" s="13" t="str">
        <x:v>February 11, 2026</x:v>
      </x:c>
      <x:c r="H463" s="13" t="str">
        <x:v>-</x:v>
      </x:c>
      <x:c r="I463" s="13" t="str">
        <x:v>Synthetic example: alleged offense may exceed one-year penalty threshold; refer for legal/prosecutorial handling.</x:v>
      </x:c>
      <x:c r="J463" s="13" t="str">
        <x:v>Refer</x:v>
      </x:c>
      <x:c r="K463" s="13" t="str">
        <x:v>NON_KP_REFERRAL</x:v>
      </x:c>
      <x:c r="L463" s="13" t="str">
        <x:v>Not KP; penalty threshold exceeded</x:v>
      </x:c>
      <x:c r="M463" s="13" t="str">
        <x:v>Refer to PNP/prosecutor/court or proper authority</x:v>
      </x:c>
      <x:c r="N463" s="13" t="str">
        <x:v>Potential penalty exceeds the one-year KP threshold.</x:v>
      </x:c>
      <x:c r="O463" s="13" t="str">
        <x:v>Possible penalty 18 months</x:v>
      </x:c>
      <x:c r="P463" s="13" t="str">
        <x:v>Serious physical injury na may medical certificate at posibleng mabigat na parusa</x:v>
      </x:c>
      <x:c r="Q463" s="13" t="str">
        <x:v>Added to balance 'penalty-over-1-year' to 49 examples using the same Justice KP label schema.</x:v>
      </x:c>
      <x:c r="R463" s="13" t="str">
        <x:v>Synthetic row based on category coverage gap from uploaded PDF</x:v>
      </x:c>
    </x:row>
    <x:row r="464" ht="36" customHeight="1">
      <x:c r="A464" s="13" t="str">
        <x:v>SYN-PEN1Y-012</x:v>
      </x:c>
      <x:c r="B464" s="13" t="str">
        <x:v>penalty-over-1-year</x:v>
      </x:c>
      <x:c r="C464" s="13" t="str">
        <x:v>Synthetic</x:v>
      </x:c>
      <x:c r="D464" s="13" t="str"/>
      <x:c r="E464" s="13" t="str">
        <x:v>Criminal</x:v>
      </x:c>
      <x:c r="F464" s="13" t="str">
        <x:v>Pagnanakaw ng mamahaling gamit na lampas sa simpleng barangay dispute</x:v>
      </x:c>
      <x:c r="G464" s="13" t="str">
        <x:v>February 14, 2026</x:v>
      </x:c>
      <x:c r="H464" s="13" t="str">
        <x:v>-</x:v>
      </x:c>
      <x:c r="I464" s="13" t="str">
        <x:v>Synthetic example: alleged offense may exceed one-year penalty threshold; refer for legal/prosecutorial handling.</x:v>
      </x:c>
      <x:c r="J464" s="13" t="str">
        <x:v>Refer</x:v>
      </x:c>
      <x:c r="K464" s="13" t="str">
        <x:v>NON_KP_REFERRAL</x:v>
      </x:c>
      <x:c r="L464" s="13" t="str">
        <x:v>Not KP; penalty threshold exceeded</x:v>
      </x:c>
      <x:c r="M464" s="13" t="str">
        <x:v>Refer to PNP/prosecutor/court or proper authority</x:v>
      </x:c>
      <x:c r="N464" s="13" t="str">
        <x:v>Potential penalty exceeds the one-year KP threshold.</x:v>
      </x:c>
      <x:c r="O464" s="13" t="str">
        <x:v>Possible penalty 24 months</x:v>
      </x:c>
      <x:c r="P464" s="13" t="str">
        <x:v>Pagnanakaw ng mamahaling gamit na lampas sa simpleng barangay dispute</x:v>
      </x:c>
      <x:c r="Q464" s="13" t="str">
        <x:v>Added to balance 'penalty-over-1-year' to 49 examples using the same Justice KP label schema.</x:v>
      </x:c>
      <x:c r="R464" s="13" t="str">
        <x:v>Synthetic row based on category coverage gap from uploaded PDF</x:v>
      </x:c>
    </x:row>
    <x:row r="465" ht="36" customHeight="1">
      <x:c r="A465" s="13" t="str">
        <x:v>SYN-PEN1Y-013</x:v>
      </x:c>
      <x:c r="B465" s="13" t="str">
        <x:v>penalty-over-1-year</x:v>
      </x:c>
      <x:c r="C465" s="13" t="str">
        <x:v>Synthetic</x:v>
      </x:c>
      <x:c r="D465" s="13" t="str"/>
      <x:c r="E465" s="13" t="str">
        <x:v>Criminal</x:v>
      </x:c>
      <x:c r="F465" s="13" t="str">
        <x:v>Pananaksak o paggamit ng patalim sa away</x:v>
      </x:c>
      <x:c r="G465" s="13" t="str">
        <x:v>February 17, 2026</x:v>
      </x:c>
      <x:c r="H465" s="13" t="str">
        <x:v>-</x:v>
      </x:c>
      <x:c r="I465" s="13" t="str">
        <x:v>Synthetic example: alleged offense may exceed one-year penalty threshold; refer for legal/prosecutorial handling.</x:v>
      </x:c>
      <x:c r="J465" s="13" t="str">
        <x:v>Refer</x:v>
      </x:c>
      <x:c r="K465" s="13" t="str">
        <x:v>NON_KP_REFERRAL</x:v>
      </x:c>
      <x:c r="L465" s="13" t="str">
        <x:v>Not KP; penalty threshold exceeded</x:v>
      </x:c>
      <x:c r="M465" s="13" t="str">
        <x:v>Refer to PNP/prosecutor/court or proper authority</x:v>
      </x:c>
      <x:c r="N465" s="13" t="str">
        <x:v>Potential penalty exceeds the one-year KP threshold.</x:v>
      </x:c>
      <x:c r="O465" s="13" t="str">
        <x:v>Possible penalty 36 months</x:v>
      </x:c>
      <x:c r="P465" s="13" t="str">
        <x:v>Pananaksak o paggamit ng patalim sa away</x:v>
      </x:c>
      <x:c r="Q465" s="13" t="str">
        <x:v>Added to balance 'penalty-over-1-year' to 49 examples using the same Justice KP label schema.</x:v>
      </x:c>
      <x:c r="R465" s="13" t="str">
        <x:v>Synthetic row based on category coverage gap from uploaded PDF</x:v>
      </x:c>
    </x:row>
    <x:row r="466" ht="36" customHeight="1">
      <x:c r="A466" s="13" t="str">
        <x:v>SYN-PEN1Y-014</x:v>
      </x:c>
      <x:c r="B466" s="13" t="str">
        <x:v>penalty-over-1-year</x:v>
      </x:c>
      <x:c r="C466" s="13" t="str">
        <x:v>Synthetic</x:v>
      </x:c>
      <x:c r="D466" s="13" t="str"/>
      <x:c r="E466" s="13" t="str">
        <x:v>Criminal</x:v>
      </x:c>
      <x:c r="F466" s="13" t="str">
        <x:v>Falsification of public document complaint</x:v>
      </x:c>
      <x:c r="G466" s="13" t="str">
        <x:v>February 20, 2026</x:v>
      </x:c>
      <x:c r="H466" s="13" t="str">
        <x:v>-</x:v>
      </x:c>
      <x:c r="I466" s="13" t="str">
        <x:v>Synthetic example: alleged offense may exceed one-year penalty threshold; refer for legal/prosecutorial handling.</x:v>
      </x:c>
      <x:c r="J466" s="13" t="str">
        <x:v>Refer</x:v>
      </x:c>
      <x:c r="K466" s="13" t="str">
        <x:v>NON_KP_REFERRAL</x:v>
      </x:c>
      <x:c r="L466" s="13" t="str">
        <x:v>Not KP; penalty threshold exceeded</x:v>
      </x:c>
      <x:c r="M466" s="13" t="str">
        <x:v>Refer to PNP/prosecutor/court or proper authority</x:v>
      </x:c>
      <x:c r="N466" s="13" t="str">
        <x:v>Potential penalty exceeds the one-year KP threshold.</x:v>
      </x:c>
      <x:c r="O466" s="13" t="str">
        <x:v>Possible penalty 48 months</x:v>
      </x:c>
      <x:c r="P466" s="13" t="str">
        <x:v>Falsification of public document complaint</x:v>
      </x:c>
      <x:c r="Q466" s="13" t="str">
        <x:v>Added to balance 'penalty-over-1-year' to 49 examples using the same Justice KP label schema.</x:v>
      </x:c>
      <x:c r="R466" s="13" t="str">
        <x:v>Synthetic row based on category coverage gap from uploaded PDF</x:v>
      </x:c>
    </x:row>
    <x:row r="467" ht="36" customHeight="1">
      <x:c r="A467" s="13" t="str">
        <x:v>SYN-PEN1Y-015</x:v>
      </x:c>
      <x:c r="B467" s="13" t="str">
        <x:v>penalty-over-1-year</x:v>
      </x:c>
      <x:c r="C467" s="13" t="str">
        <x:v>Synthetic</x:v>
      </x:c>
      <x:c r="D467" s="13" t="str"/>
      <x:c r="E467" s="13" t="str">
        <x:v>Criminal</x:v>
      </x:c>
      <x:c r="F467" s="13" t="str">
        <x:v>Robbery complaint involving force or intimidation</x:v>
      </x:c>
      <x:c r="G467" s="13" t="str">
        <x:v>February 23, 2026</x:v>
      </x:c>
      <x:c r="H467" s="13" t="str">
        <x:v>-</x:v>
      </x:c>
      <x:c r="I467" s="13" t="str">
        <x:v>Synthetic example: alleged offense may exceed one-year penalty threshold; refer for legal/prosecutorial handling.</x:v>
      </x:c>
      <x:c r="J467" s="13" t="str">
        <x:v>Refer</x:v>
      </x:c>
      <x:c r="K467" s="13" t="str">
        <x:v>NON_KP_REFERRAL</x:v>
      </x:c>
      <x:c r="L467" s="13" t="str">
        <x:v>Not KP; penalty threshold exceeded</x:v>
      </x:c>
      <x:c r="M467" s="13" t="str">
        <x:v>Refer to PNP/prosecutor/court or proper authority</x:v>
      </x:c>
      <x:c r="N467" s="13" t="str">
        <x:v>Potential penalty exceeds the one-year KP threshold.</x:v>
      </x:c>
      <x:c r="O467" s="13" t="str">
        <x:v>Possible penalty 72 months</x:v>
      </x:c>
      <x:c r="P467" s="13" t="str">
        <x:v>Robbery complaint involving force or intimidation</x:v>
      </x:c>
      <x:c r="Q467" s="13" t="str">
        <x:v>Added to balance 'penalty-over-1-year' to 49 examples using the same Justice KP label schema.</x:v>
      </x:c>
      <x:c r="R467" s="13" t="str">
        <x:v>Synthetic row based on category coverage gap from uploaded PDF</x:v>
      </x:c>
    </x:row>
    <x:row r="468" ht="36" customHeight="1">
      <x:c r="A468" s="13" t="str">
        <x:v>SYN-PEN1Y-016</x:v>
      </x:c>
      <x:c r="B468" s="13" t="str">
        <x:v>penalty-over-1-year</x:v>
      </x:c>
      <x:c r="C468" s="13" t="str">
        <x:v>Synthetic</x:v>
      </x:c>
      <x:c r="D468" s="13" t="str"/>
      <x:c r="E468" s="13" t="str">
        <x:v>Criminal</x:v>
      </x:c>
      <x:c r="F468" s="13" t="str">
        <x:v>Serious threats involving arson or deadly weapon</x:v>
      </x:c>
      <x:c r="G468" s="13" t="str">
        <x:v>February 26, 2026</x:v>
      </x:c>
      <x:c r="H468" s="13" t="str">
        <x:v>-</x:v>
      </x:c>
      <x:c r="I468" s="13" t="str">
        <x:v>Synthetic example: alleged offense may exceed one-year penalty threshold; refer for legal/prosecutorial handling.</x:v>
      </x:c>
      <x:c r="J468" s="13" t="str">
        <x:v>Refer</x:v>
      </x:c>
      <x:c r="K468" s="13" t="str">
        <x:v>NON_KP_REFERRAL</x:v>
      </x:c>
      <x:c r="L468" s="13" t="str">
        <x:v>Not KP; penalty threshold exceeded</x:v>
      </x:c>
      <x:c r="M468" s="13" t="str">
        <x:v>Refer to PNP/prosecutor/court or proper authority</x:v>
      </x:c>
      <x:c r="N468" s="13" t="str">
        <x:v>Potential penalty exceeds the one-year KP threshold.</x:v>
      </x:c>
      <x:c r="O468" s="13" t="str">
        <x:v>Possible penalty 18 months</x:v>
      </x:c>
      <x:c r="P468" s="13" t="str">
        <x:v>Serious threats involving arson or deadly weapon</x:v>
      </x:c>
      <x:c r="Q468" s="13" t="str">
        <x:v>Added to balance 'penalty-over-1-year' to 49 examples using the same Justice KP label schema.</x:v>
      </x:c>
      <x:c r="R468" s="13" t="str">
        <x:v>Synthetic row based on category coverage gap from uploaded PDF</x:v>
      </x:c>
    </x:row>
    <x:row r="469" ht="36" customHeight="1">
      <x:c r="A469" s="13" t="str">
        <x:v>SYN-PEN1Y-017</x:v>
      </x:c>
      <x:c r="B469" s="13" t="str">
        <x:v>penalty-over-1-year</x:v>
      </x:c>
      <x:c r="C469" s="13" t="str">
        <x:v>Synthetic</x:v>
      </x:c>
      <x:c r="D469" s="13" t="str"/>
      <x:c r="E469" s="13" t="str">
        <x:v>Criminal</x:v>
      </x:c>
      <x:c r="F469" s="13" t="str">
        <x:v>Qualified trespass with damage to property</x:v>
      </x:c>
      <x:c r="G469" s="13" t="str">
        <x:v>March 1, 2026</x:v>
      </x:c>
      <x:c r="H469" s="13" t="str">
        <x:v>-</x:v>
      </x:c>
      <x:c r="I469" s="13" t="str">
        <x:v>Synthetic example: alleged offense may exceed one-year penalty threshold; refer for legal/prosecutorial handling.</x:v>
      </x:c>
      <x:c r="J469" s="13" t="str">
        <x:v>Refer</x:v>
      </x:c>
      <x:c r="K469" s="13" t="str">
        <x:v>NON_KP_REFERRAL</x:v>
      </x:c>
      <x:c r="L469" s="13" t="str">
        <x:v>Not KP; penalty threshold exceeded</x:v>
      </x:c>
      <x:c r="M469" s="13" t="str">
        <x:v>Refer to PNP/prosecutor/court or proper authority</x:v>
      </x:c>
      <x:c r="N469" s="13" t="str">
        <x:v>Potential penalty exceeds the one-year KP threshold.</x:v>
      </x:c>
      <x:c r="O469" s="13" t="str">
        <x:v>Possible penalty 24 months</x:v>
      </x:c>
      <x:c r="P469" s="13" t="str">
        <x:v>Qualified trespass with damage to property</x:v>
      </x:c>
      <x:c r="Q469" s="13" t="str">
        <x:v>Added to balance 'penalty-over-1-year' to 49 examples using the same Justice KP label schema.</x:v>
      </x:c>
      <x:c r="R469" s="13" t="str">
        <x:v>Synthetic row based on category coverage gap from uploaded PDF</x:v>
      </x:c>
    </x:row>
    <x:row r="470" ht="36" customHeight="1">
      <x:c r="A470" s="13" t="str">
        <x:v>SYN-PEN1Y-018</x:v>
      </x:c>
      <x:c r="B470" s="13" t="str">
        <x:v>penalty-over-1-year</x:v>
      </x:c>
      <x:c r="C470" s="13" t="str">
        <x:v>Synthetic</x:v>
      </x:c>
      <x:c r="D470" s="13" t="str"/>
      <x:c r="E470" s="13" t="str">
        <x:v>Criminal</x:v>
      </x:c>
      <x:c r="F470" s="13" t="str">
        <x:v>Estafa complaint involving large amount and fraud</x:v>
      </x:c>
      <x:c r="G470" s="13" t="str">
        <x:v>March 4, 2026</x:v>
      </x:c>
      <x:c r="H470" s="13" t="str">
        <x:v>-</x:v>
      </x:c>
      <x:c r="I470" s="13" t="str">
        <x:v>Synthetic example: alleged offense may exceed one-year penalty threshold; refer for legal/prosecutorial handling.</x:v>
      </x:c>
      <x:c r="J470" s="13" t="str">
        <x:v>Refer</x:v>
      </x:c>
      <x:c r="K470" s="13" t="str">
        <x:v>NON_KP_REFERRAL</x:v>
      </x:c>
      <x:c r="L470" s="13" t="str">
        <x:v>Not KP; penalty threshold exceeded</x:v>
      </x:c>
      <x:c r="M470" s="13" t="str">
        <x:v>Refer to PNP/prosecutor/court or proper authority</x:v>
      </x:c>
      <x:c r="N470" s="13" t="str">
        <x:v>Potential penalty exceeds the one-year KP threshold.</x:v>
      </x:c>
      <x:c r="O470" s="13" t="str">
        <x:v>Possible penalty 36 months</x:v>
      </x:c>
      <x:c r="P470" s="13" t="str">
        <x:v>Estafa complaint involving large amount and fraud</x:v>
      </x:c>
      <x:c r="Q470" s="13" t="str">
        <x:v>Added to balance 'penalty-over-1-year' to 49 examples using the same Justice KP label schema.</x:v>
      </x:c>
      <x:c r="R470" s="13" t="str">
        <x:v>Synthetic row based on category coverage gap from uploaded PDF</x:v>
      </x:c>
    </x:row>
    <x:row r="471" ht="36" customHeight="1">
      <x:c r="A471" s="13" t="str">
        <x:v>SYN-PEN1Y-019</x:v>
      </x:c>
      <x:c r="B471" s="13" t="str">
        <x:v>penalty-over-1-year</x:v>
      </x:c>
      <x:c r="C471" s="13" t="str">
        <x:v>Synthetic</x:v>
      </x:c>
      <x:c r="D471" s="13" t="str"/>
      <x:c r="E471" s="13" t="str">
        <x:v>Criminal</x:v>
      </x:c>
      <x:c r="F471" s="13" t="str">
        <x:v>Theft of electricity with damage to meter</x:v>
      </x:c>
      <x:c r="G471" s="13" t="str">
        <x:v>March 7, 2026</x:v>
      </x:c>
      <x:c r="H471" s="13" t="str">
        <x:v>-</x:v>
      </x:c>
      <x:c r="I471" s="13" t="str">
        <x:v>Synthetic example: alleged offense may exceed one-year penalty threshold; refer for legal/prosecutorial handling.</x:v>
      </x:c>
      <x:c r="J471" s="13" t="str">
        <x:v>Refer</x:v>
      </x:c>
      <x:c r="K471" s="13" t="str">
        <x:v>NON_KP_REFERRAL</x:v>
      </x:c>
      <x:c r="L471" s="13" t="str">
        <x:v>Not KP; penalty threshold exceeded</x:v>
      </x:c>
      <x:c r="M471" s="13" t="str">
        <x:v>Refer to PNP/prosecutor/court or proper authority</x:v>
      </x:c>
      <x:c r="N471" s="13" t="str">
        <x:v>Potential penalty exceeds the one-year KP threshold.</x:v>
      </x:c>
      <x:c r="O471" s="13" t="str">
        <x:v>Possible penalty 48 months</x:v>
      </x:c>
      <x:c r="P471" s="13" t="str">
        <x:v>Theft of electricity with damage to meter</x:v>
      </x:c>
      <x:c r="Q471" s="13" t="str">
        <x:v>Added to balance 'penalty-over-1-year' to 49 examples using the same Justice KP label schema.</x:v>
      </x:c>
      <x:c r="R471" s="13" t="str">
        <x:v>Synthetic row based on category coverage gap from uploaded PDF</x:v>
      </x:c>
    </x:row>
    <x:row r="472" ht="36" customHeight="1">
      <x:c r="A472" s="13" t="str">
        <x:v>SYN-PEN1Y-020</x:v>
      </x:c>
      <x:c r="B472" s="13" t="str">
        <x:v>penalty-over-1-year</x:v>
      </x:c>
      <x:c r="C472" s="13" t="str">
        <x:v>Synthetic</x:v>
      </x:c>
      <x:c r="D472" s="13" t="str"/>
      <x:c r="E472" s="13" t="str">
        <x:v>Criminal</x:v>
      </x:c>
      <x:c r="F472" s="13" t="str">
        <x:v>Malicious mischief with major property damage</x:v>
      </x:c>
      <x:c r="G472" s="13" t="str">
        <x:v>March 10, 2026</x:v>
      </x:c>
      <x:c r="H472" s="13" t="str">
        <x:v>-</x:v>
      </x:c>
      <x:c r="I472" s="13" t="str">
        <x:v>Synthetic example: alleged offense may exceed one-year penalty threshold; refer for legal/prosecutorial handling.</x:v>
      </x:c>
      <x:c r="J472" s="13" t="str">
        <x:v>Refer</x:v>
      </x:c>
      <x:c r="K472" s="13" t="str">
        <x:v>NON_KP_REFERRAL</x:v>
      </x:c>
      <x:c r="L472" s="13" t="str">
        <x:v>Not KP; penalty threshold exceeded</x:v>
      </x:c>
      <x:c r="M472" s="13" t="str">
        <x:v>Refer to PNP/prosecutor/court or proper authority</x:v>
      </x:c>
      <x:c r="N472" s="13" t="str">
        <x:v>Potential penalty exceeds the one-year KP threshold.</x:v>
      </x:c>
      <x:c r="O472" s="13" t="str">
        <x:v>Possible penalty 72 months</x:v>
      </x:c>
      <x:c r="P472" s="13" t="str">
        <x:v>Malicious mischief with major property damage</x:v>
      </x:c>
      <x:c r="Q472" s="13" t="str">
        <x:v>Added to balance 'penalty-over-1-year' to 49 examples using the same Justice KP label schema.</x:v>
      </x:c>
      <x:c r="R472" s="13" t="str">
        <x:v>Synthetic row based on category coverage gap from uploaded PDF</x:v>
      </x:c>
    </x:row>
    <x:row r="473" ht="36" customHeight="1">
      <x:c r="A473" s="13" t="str">
        <x:v>SYN-PEN1Y-021</x:v>
      </x:c>
      <x:c r="B473" s="13" t="str">
        <x:v>penalty-over-1-year</x:v>
      </x:c>
      <x:c r="C473" s="13" t="str">
        <x:v>Synthetic</x:v>
      </x:c>
      <x:c r="D473" s="13" t="str"/>
      <x:c r="E473" s="13" t="str">
        <x:v>Criminal</x:v>
      </x:c>
      <x:c r="F473" s="13" t="str">
        <x:v>Serious physical injury na may medical certificate at posibleng mabigat na parusa</x:v>
      </x:c>
      <x:c r="G473" s="13" t="str">
        <x:v>March 13, 2026</x:v>
      </x:c>
      <x:c r="H473" s="13" t="str">
        <x:v>-</x:v>
      </x:c>
      <x:c r="I473" s="13" t="str">
        <x:v>Synthetic example: alleged offense may exceed one-year penalty threshold; refer for legal/prosecutorial handling.</x:v>
      </x:c>
      <x:c r="J473" s="13" t="str">
        <x:v>Refer</x:v>
      </x:c>
      <x:c r="K473" s="13" t="str">
        <x:v>NON_KP_REFERRAL</x:v>
      </x:c>
      <x:c r="L473" s="13" t="str">
        <x:v>Not KP; penalty threshold exceeded</x:v>
      </x:c>
      <x:c r="M473" s="13" t="str">
        <x:v>Refer to PNP/prosecutor/court or proper authority</x:v>
      </x:c>
      <x:c r="N473" s="13" t="str">
        <x:v>Potential penalty exceeds the one-year KP threshold.</x:v>
      </x:c>
      <x:c r="O473" s="13" t="str">
        <x:v>Possible penalty 18 months</x:v>
      </x:c>
      <x:c r="P473" s="13" t="str">
        <x:v>Serious physical injury na may medical certificate at posibleng mabigat na parusa</x:v>
      </x:c>
      <x:c r="Q473" s="13" t="str">
        <x:v>Added to balance 'penalty-over-1-year' to 49 examples using the same Justice KP label schema.</x:v>
      </x:c>
      <x:c r="R473" s="13" t="str">
        <x:v>Synthetic row based on category coverage gap from uploaded PDF</x:v>
      </x:c>
    </x:row>
    <x:row r="474" ht="36" customHeight="1">
      <x:c r="A474" s="13" t="str">
        <x:v>SYN-PEN1Y-022</x:v>
      </x:c>
      <x:c r="B474" s="13" t="str">
        <x:v>penalty-over-1-year</x:v>
      </x:c>
      <x:c r="C474" s="13" t="str">
        <x:v>Synthetic</x:v>
      </x:c>
      <x:c r="D474" s="13" t="str"/>
      <x:c r="E474" s="13" t="str">
        <x:v>Criminal</x:v>
      </x:c>
      <x:c r="F474" s="13" t="str">
        <x:v>Pagnanakaw ng mamahaling gamit na lampas sa simpleng barangay dispute</x:v>
      </x:c>
      <x:c r="G474" s="13" t="str">
        <x:v>March 16, 2026</x:v>
      </x:c>
      <x:c r="H474" s="13" t="str">
        <x:v>-</x:v>
      </x:c>
      <x:c r="I474" s="13" t="str">
        <x:v>Synthetic example: alleged offense may exceed one-year penalty threshold; refer for legal/prosecutorial handling.</x:v>
      </x:c>
      <x:c r="J474" s="13" t="str">
        <x:v>Refer</x:v>
      </x:c>
      <x:c r="K474" s="13" t="str">
        <x:v>NON_KP_REFERRAL</x:v>
      </x:c>
      <x:c r="L474" s="13" t="str">
        <x:v>Not KP; penalty threshold exceeded</x:v>
      </x:c>
      <x:c r="M474" s="13" t="str">
        <x:v>Refer to PNP/prosecutor/court or proper authority</x:v>
      </x:c>
      <x:c r="N474" s="13" t="str">
        <x:v>Potential penalty exceeds the one-year KP threshold.</x:v>
      </x:c>
      <x:c r="O474" s="13" t="str">
        <x:v>Possible penalty 24 months</x:v>
      </x:c>
      <x:c r="P474" s="13" t="str">
        <x:v>Pagnanakaw ng mamahaling gamit na lampas sa simpleng barangay dispute</x:v>
      </x:c>
      <x:c r="Q474" s="13" t="str">
        <x:v>Added to balance 'penalty-over-1-year' to 49 examples using the same Justice KP label schema.</x:v>
      </x:c>
      <x:c r="R474" s="13" t="str">
        <x:v>Synthetic row based on category coverage gap from uploaded PDF</x:v>
      </x:c>
    </x:row>
    <x:row r="475" ht="36" customHeight="1">
      <x:c r="A475" s="13" t="str">
        <x:v>SYN-PEN1Y-023</x:v>
      </x:c>
      <x:c r="B475" s="13" t="str">
        <x:v>penalty-over-1-year</x:v>
      </x:c>
      <x:c r="C475" s="13" t="str">
        <x:v>Synthetic</x:v>
      </x:c>
      <x:c r="D475" s="13" t="str"/>
      <x:c r="E475" s="13" t="str">
        <x:v>Criminal</x:v>
      </x:c>
      <x:c r="F475" s="13" t="str">
        <x:v>Pananaksak o paggamit ng patalim sa away</x:v>
      </x:c>
      <x:c r="G475" s="13" t="str">
        <x:v>March 19, 2026</x:v>
      </x:c>
      <x:c r="H475" s="13" t="str">
        <x:v>-</x:v>
      </x:c>
      <x:c r="I475" s="13" t="str">
        <x:v>Synthetic example: alleged offense may exceed one-year penalty threshold; refer for legal/prosecutorial handling.</x:v>
      </x:c>
      <x:c r="J475" s="13" t="str">
        <x:v>Refer</x:v>
      </x:c>
      <x:c r="K475" s="13" t="str">
        <x:v>NON_KP_REFERRAL</x:v>
      </x:c>
      <x:c r="L475" s="13" t="str">
        <x:v>Not KP; penalty threshold exceeded</x:v>
      </x:c>
      <x:c r="M475" s="13" t="str">
        <x:v>Refer to PNP/prosecutor/court or proper authority</x:v>
      </x:c>
      <x:c r="N475" s="13" t="str">
        <x:v>Potential penalty exceeds the one-year KP threshold.</x:v>
      </x:c>
      <x:c r="O475" s="13" t="str">
        <x:v>Possible penalty 36 months</x:v>
      </x:c>
      <x:c r="P475" s="13" t="str">
        <x:v>Pananaksak o paggamit ng patalim sa away</x:v>
      </x:c>
      <x:c r="Q475" s="13" t="str">
        <x:v>Added to balance 'penalty-over-1-year' to 49 examples using the same Justice KP label schema.</x:v>
      </x:c>
      <x:c r="R475" s="13" t="str">
        <x:v>Synthetic row based on category coverage gap from uploaded PDF</x:v>
      </x:c>
    </x:row>
    <x:row r="476" ht="36" customHeight="1">
      <x:c r="A476" s="13" t="str">
        <x:v>SYN-PEN1Y-024</x:v>
      </x:c>
      <x:c r="B476" s="13" t="str">
        <x:v>penalty-over-1-year</x:v>
      </x:c>
      <x:c r="C476" s="13" t="str">
        <x:v>Synthetic</x:v>
      </x:c>
      <x:c r="D476" s="13" t="str"/>
      <x:c r="E476" s="13" t="str">
        <x:v>Criminal</x:v>
      </x:c>
      <x:c r="F476" s="13" t="str">
        <x:v>Falsification of public document complaint</x:v>
      </x:c>
      <x:c r="G476" s="13" t="str">
        <x:v>March 22, 2026</x:v>
      </x:c>
      <x:c r="H476" s="13" t="str">
        <x:v>-</x:v>
      </x:c>
      <x:c r="I476" s="13" t="str">
        <x:v>Synthetic example: alleged offense may exceed one-year penalty threshold; refer for legal/prosecutorial handling.</x:v>
      </x:c>
      <x:c r="J476" s="13" t="str">
        <x:v>Refer</x:v>
      </x:c>
      <x:c r="K476" s="13" t="str">
        <x:v>NON_KP_REFERRAL</x:v>
      </x:c>
      <x:c r="L476" s="13" t="str">
        <x:v>Not KP; penalty threshold exceeded</x:v>
      </x:c>
      <x:c r="M476" s="13" t="str">
        <x:v>Refer to PNP/prosecutor/court or proper authority</x:v>
      </x:c>
      <x:c r="N476" s="13" t="str">
        <x:v>Potential penalty exceeds the one-year KP threshold.</x:v>
      </x:c>
      <x:c r="O476" s="13" t="str">
        <x:v>Possible penalty 48 months</x:v>
      </x:c>
      <x:c r="P476" s="13" t="str">
        <x:v>Falsification of public document complaint</x:v>
      </x:c>
      <x:c r="Q476" s="13" t="str">
        <x:v>Added to balance 'penalty-over-1-year' to 49 examples using the same Justice KP label schema.</x:v>
      </x:c>
      <x:c r="R476" s="13" t="str">
        <x:v>Synthetic row based on category coverage gap from uploaded PDF</x:v>
      </x:c>
    </x:row>
    <x:row r="477" ht="36" customHeight="1">
      <x:c r="A477" s="13" t="str">
        <x:v>SYN-PEN1Y-025</x:v>
      </x:c>
      <x:c r="B477" s="13" t="str">
        <x:v>penalty-over-1-year</x:v>
      </x:c>
      <x:c r="C477" s="13" t="str">
        <x:v>Synthetic</x:v>
      </x:c>
      <x:c r="D477" s="13" t="str"/>
      <x:c r="E477" s="13" t="str">
        <x:v>Criminal</x:v>
      </x:c>
      <x:c r="F477" s="13" t="str">
        <x:v>Robbery complaint involving force or intimidation</x:v>
      </x:c>
      <x:c r="G477" s="13" t="str">
        <x:v>March 25, 2026</x:v>
      </x:c>
      <x:c r="H477" s="13" t="str">
        <x:v>-</x:v>
      </x:c>
      <x:c r="I477" s="13" t="str">
        <x:v>Synthetic example: alleged offense may exceed one-year penalty threshold; refer for legal/prosecutorial handling.</x:v>
      </x:c>
      <x:c r="J477" s="13" t="str">
        <x:v>Refer</x:v>
      </x:c>
      <x:c r="K477" s="13" t="str">
        <x:v>NON_KP_REFERRAL</x:v>
      </x:c>
      <x:c r="L477" s="13" t="str">
        <x:v>Not KP; penalty threshold exceeded</x:v>
      </x:c>
      <x:c r="M477" s="13" t="str">
        <x:v>Refer to PNP/prosecutor/court or proper authority</x:v>
      </x:c>
      <x:c r="N477" s="13" t="str">
        <x:v>Potential penalty exceeds the one-year KP threshold.</x:v>
      </x:c>
      <x:c r="O477" s="13" t="str">
        <x:v>Possible penalty 72 months</x:v>
      </x:c>
      <x:c r="P477" s="13" t="str">
        <x:v>Robbery complaint involving force or intimidation</x:v>
      </x:c>
      <x:c r="Q477" s="13" t="str">
        <x:v>Added to balance 'penalty-over-1-year' to 49 examples using the same Justice KP label schema.</x:v>
      </x:c>
      <x:c r="R477" s="13" t="str">
        <x:v>Synthetic row based on category coverage gap from uploaded PDF</x:v>
      </x:c>
    </x:row>
    <x:row r="478" ht="36" customHeight="1">
      <x:c r="A478" s="13" t="str">
        <x:v>SYN-PEN1Y-026</x:v>
      </x:c>
      <x:c r="B478" s="13" t="str">
        <x:v>penalty-over-1-year</x:v>
      </x:c>
      <x:c r="C478" s="13" t="str">
        <x:v>Synthetic</x:v>
      </x:c>
      <x:c r="D478" s="13" t="str"/>
      <x:c r="E478" s="13" t="str">
        <x:v>Criminal</x:v>
      </x:c>
      <x:c r="F478" s="13" t="str">
        <x:v>Serious threats involving arson or deadly weapon</x:v>
      </x:c>
      <x:c r="G478" s="13" t="str">
        <x:v>March 28, 2026</x:v>
      </x:c>
      <x:c r="H478" s="13" t="str">
        <x:v>-</x:v>
      </x:c>
      <x:c r="I478" s="13" t="str">
        <x:v>Synthetic example: alleged offense may exceed one-year penalty threshold; refer for legal/prosecutorial handling.</x:v>
      </x:c>
      <x:c r="J478" s="13" t="str">
        <x:v>Refer</x:v>
      </x:c>
      <x:c r="K478" s="13" t="str">
        <x:v>NON_KP_REFERRAL</x:v>
      </x:c>
      <x:c r="L478" s="13" t="str">
        <x:v>Not KP; penalty threshold exceeded</x:v>
      </x:c>
      <x:c r="M478" s="13" t="str">
        <x:v>Refer to PNP/prosecutor/court or proper authority</x:v>
      </x:c>
      <x:c r="N478" s="13" t="str">
        <x:v>Potential penalty exceeds the one-year KP threshold.</x:v>
      </x:c>
      <x:c r="O478" s="13" t="str">
        <x:v>Possible penalty 18 months</x:v>
      </x:c>
      <x:c r="P478" s="13" t="str">
        <x:v>Serious threats involving arson or deadly weapon</x:v>
      </x:c>
      <x:c r="Q478" s="13" t="str">
        <x:v>Added to balance 'penalty-over-1-year' to 49 examples using the same Justice KP label schema.</x:v>
      </x:c>
      <x:c r="R478" s="13" t="str">
        <x:v>Synthetic row based on category coverage gap from uploaded PDF</x:v>
      </x:c>
    </x:row>
    <x:row r="479" ht="36" customHeight="1">
      <x:c r="A479" s="13" t="str">
        <x:v>SYN-PEN1Y-027</x:v>
      </x:c>
      <x:c r="B479" s="13" t="str">
        <x:v>penalty-over-1-year</x:v>
      </x:c>
      <x:c r="C479" s="13" t="str">
        <x:v>Synthetic</x:v>
      </x:c>
      <x:c r="D479" s="13" t="str"/>
      <x:c r="E479" s="13" t="str">
        <x:v>Criminal</x:v>
      </x:c>
      <x:c r="F479" s="13" t="str">
        <x:v>Qualified trespass with damage to property</x:v>
      </x:c>
      <x:c r="G479" s="13" t="str">
        <x:v>March 31, 2026</x:v>
      </x:c>
      <x:c r="H479" s="13" t="str">
        <x:v>-</x:v>
      </x:c>
      <x:c r="I479" s="13" t="str">
        <x:v>Synthetic example: alleged offense may exceed one-year penalty threshold; refer for legal/prosecutorial handling.</x:v>
      </x:c>
      <x:c r="J479" s="13" t="str">
        <x:v>Refer</x:v>
      </x:c>
      <x:c r="K479" s="13" t="str">
        <x:v>NON_KP_REFERRAL</x:v>
      </x:c>
      <x:c r="L479" s="13" t="str">
        <x:v>Not KP; penalty threshold exceeded</x:v>
      </x:c>
      <x:c r="M479" s="13" t="str">
        <x:v>Refer to PNP/prosecutor/court or proper authority</x:v>
      </x:c>
      <x:c r="N479" s="13" t="str">
        <x:v>Potential penalty exceeds the one-year KP threshold.</x:v>
      </x:c>
      <x:c r="O479" s="13" t="str">
        <x:v>Possible penalty 24 months</x:v>
      </x:c>
      <x:c r="P479" s="13" t="str">
        <x:v>Qualified trespass with damage to property</x:v>
      </x:c>
      <x:c r="Q479" s="13" t="str">
        <x:v>Added to balance 'penalty-over-1-year' to 49 examples using the same Justice KP label schema.</x:v>
      </x:c>
      <x:c r="R479" s="13" t="str">
        <x:v>Synthetic row based on category coverage gap from uploaded PDF</x:v>
      </x:c>
    </x:row>
    <x:row r="480" ht="36" customHeight="1">
      <x:c r="A480" s="13" t="str">
        <x:v>SYN-PEN1Y-028</x:v>
      </x:c>
      <x:c r="B480" s="13" t="str">
        <x:v>penalty-over-1-year</x:v>
      </x:c>
      <x:c r="C480" s="13" t="str">
        <x:v>Synthetic</x:v>
      </x:c>
      <x:c r="D480" s="13" t="str"/>
      <x:c r="E480" s="13" t="str">
        <x:v>Criminal</x:v>
      </x:c>
      <x:c r="F480" s="13" t="str">
        <x:v>Estafa complaint involving large amount and fraud</x:v>
      </x:c>
      <x:c r="G480" s="13" t="str">
        <x:v>April 3, 2026</x:v>
      </x:c>
      <x:c r="H480" s="13" t="str">
        <x:v>-</x:v>
      </x:c>
      <x:c r="I480" s="13" t="str">
        <x:v>Synthetic example: alleged offense may exceed one-year penalty threshold; refer for legal/prosecutorial handling.</x:v>
      </x:c>
      <x:c r="J480" s="13" t="str">
        <x:v>Refer</x:v>
      </x:c>
      <x:c r="K480" s="13" t="str">
        <x:v>NON_KP_REFERRAL</x:v>
      </x:c>
      <x:c r="L480" s="13" t="str">
        <x:v>Not KP; penalty threshold exceeded</x:v>
      </x:c>
      <x:c r="M480" s="13" t="str">
        <x:v>Refer to PNP/prosecutor/court or proper authority</x:v>
      </x:c>
      <x:c r="N480" s="13" t="str">
        <x:v>Potential penalty exceeds the one-year KP threshold.</x:v>
      </x:c>
      <x:c r="O480" s="13" t="str">
        <x:v>Possible penalty 36 months</x:v>
      </x:c>
      <x:c r="P480" s="13" t="str">
        <x:v>Estafa complaint involving large amount and fraud</x:v>
      </x:c>
      <x:c r="Q480" s="13" t="str">
        <x:v>Added to balance 'penalty-over-1-year' to 49 examples using the same Justice KP label schema.</x:v>
      </x:c>
      <x:c r="R480" s="13" t="str">
        <x:v>Synthetic row based on category coverage gap from uploaded PDF</x:v>
      </x:c>
    </x:row>
    <x:row r="481" ht="36" customHeight="1">
      <x:c r="A481" s="13" t="str">
        <x:v>SYN-PEN1Y-029</x:v>
      </x:c>
      <x:c r="B481" s="13" t="str">
        <x:v>penalty-over-1-year</x:v>
      </x:c>
      <x:c r="C481" s="13" t="str">
        <x:v>Synthetic</x:v>
      </x:c>
      <x:c r="D481" s="13" t="str"/>
      <x:c r="E481" s="13" t="str">
        <x:v>Criminal</x:v>
      </x:c>
      <x:c r="F481" s="13" t="str">
        <x:v>Theft of electricity with damage to meter</x:v>
      </x:c>
      <x:c r="G481" s="13" t="str">
        <x:v>April 6, 2026</x:v>
      </x:c>
      <x:c r="H481" s="13" t="str">
        <x:v>-</x:v>
      </x:c>
      <x:c r="I481" s="13" t="str">
        <x:v>Synthetic example: alleged offense may exceed one-year penalty threshold; refer for legal/prosecutorial handling.</x:v>
      </x:c>
      <x:c r="J481" s="13" t="str">
        <x:v>Refer</x:v>
      </x:c>
      <x:c r="K481" s="13" t="str">
        <x:v>NON_KP_REFERRAL</x:v>
      </x:c>
      <x:c r="L481" s="13" t="str">
        <x:v>Not KP; penalty threshold exceeded</x:v>
      </x:c>
      <x:c r="M481" s="13" t="str">
        <x:v>Refer to PNP/prosecutor/court or proper authority</x:v>
      </x:c>
      <x:c r="N481" s="13" t="str">
        <x:v>Potential penalty exceeds the one-year KP threshold.</x:v>
      </x:c>
      <x:c r="O481" s="13" t="str">
        <x:v>Possible penalty 48 months</x:v>
      </x:c>
      <x:c r="P481" s="13" t="str">
        <x:v>Theft of electricity with damage to meter</x:v>
      </x:c>
      <x:c r="Q481" s="13" t="str">
        <x:v>Added to balance 'penalty-over-1-year' to 49 examples using the same Justice KP label schema.</x:v>
      </x:c>
      <x:c r="R481" s="13" t="str">
        <x:v>Synthetic row based on category coverage gap from uploaded PDF</x:v>
      </x:c>
    </x:row>
    <x:row r="482" ht="36" customHeight="1">
      <x:c r="A482" s="13" t="str">
        <x:v>SYN-PEN1Y-030</x:v>
      </x:c>
      <x:c r="B482" s="13" t="str">
        <x:v>penalty-over-1-year</x:v>
      </x:c>
      <x:c r="C482" s="13" t="str">
        <x:v>Synthetic</x:v>
      </x:c>
      <x:c r="D482" s="13" t="str"/>
      <x:c r="E482" s="13" t="str">
        <x:v>Criminal</x:v>
      </x:c>
      <x:c r="F482" s="13" t="str">
        <x:v>Malicious mischief with major property damage</x:v>
      </x:c>
      <x:c r="G482" s="13" t="str">
        <x:v>April 9, 2026</x:v>
      </x:c>
      <x:c r="H482" s="13" t="str">
        <x:v>-</x:v>
      </x:c>
      <x:c r="I482" s="13" t="str">
        <x:v>Synthetic example: alleged offense may exceed one-year penalty threshold; refer for legal/prosecutorial handling.</x:v>
      </x:c>
      <x:c r="J482" s="13" t="str">
        <x:v>Refer</x:v>
      </x:c>
      <x:c r="K482" s="13" t="str">
        <x:v>NON_KP_REFERRAL</x:v>
      </x:c>
      <x:c r="L482" s="13" t="str">
        <x:v>Not KP; penalty threshold exceeded</x:v>
      </x:c>
      <x:c r="M482" s="13" t="str">
        <x:v>Refer to PNP/prosecutor/court or proper authority</x:v>
      </x:c>
      <x:c r="N482" s="13" t="str">
        <x:v>Potential penalty exceeds the one-year KP threshold.</x:v>
      </x:c>
      <x:c r="O482" s="13" t="str">
        <x:v>Possible penalty 72 months</x:v>
      </x:c>
      <x:c r="P482" s="13" t="str">
        <x:v>Malicious mischief with major property damage</x:v>
      </x:c>
      <x:c r="Q482" s="13" t="str">
        <x:v>Added to balance 'penalty-over-1-year' to 49 examples using the same Justice KP label schema.</x:v>
      </x:c>
      <x:c r="R482" s="13" t="str">
        <x:v>Synthetic row based on category coverage gap from uploaded PDF</x:v>
      </x:c>
    </x:row>
    <x:row r="483" ht="36" customHeight="1">
      <x:c r="A483" s="13" t="str">
        <x:v>SYN-PEN1Y-031</x:v>
      </x:c>
      <x:c r="B483" s="13" t="str">
        <x:v>penalty-over-1-year</x:v>
      </x:c>
      <x:c r="C483" s="13" t="str">
        <x:v>Synthetic</x:v>
      </x:c>
      <x:c r="D483" s="13" t="str"/>
      <x:c r="E483" s="13" t="str">
        <x:v>Criminal</x:v>
      </x:c>
      <x:c r="F483" s="13" t="str">
        <x:v>Serious physical injury na may medical certificate at posibleng mabigat na parusa</x:v>
      </x:c>
      <x:c r="G483" s="13" t="str">
        <x:v>April 12, 2026</x:v>
      </x:c>
      <x:c r="H483" s="13" t="str">
        <x:v>-</x:v>
      </x:c>
      <x:c r="I483" s="13" t="str">
        <x:v>Synthetic example: alleged offense may exceed one-year penalty threshold; refer for legal/prosecutorial handling.</x:v>
      </x:c>
      <x:c r="J483" s="13" t="str">
        <x:v>Refer</x:v>
      </x:c>
      <x:c r="K483" s="13" t="str">
        <x:v>NON_KP_REFERRAL</x:v>
      </x:c>
      <x:c r="L483" s="13" t="str">
        <x:v>Not KP; penalty threshold exceeded</x:v>
      </x:c>
      <x:c r="M483" s="13" t="str">
        <x:v>Refer to PNP/prosecutor/court or proper authority</x:v>
      </x:c>
      <x:c r="N483" s="13" t="str">
        <x:v>Potential penalty exceeds the one-year KP threshold.</x:v>
      </x:c>
      <x:c r="O483" s="13" t="str">
        <x:v>Possible penalty 18 months</x:v>
      </x:c>
      <x:c r="P483" s="13" t="str">
        <x:v>Serious physical injury na may medical certificate at posibleng mabigat na parusa</x:v>
      </x:c>
      <x:c r="Q483" s="13" t="str">
        <x:v>Added to balance 'penalty-over-1-year' to 49 examples using the same Justice KP label schema.</x:v>
      </x:c>
      <x:c r="R483" s="13" t="str">
        <x:v>Synthetic row based on category coverage gap from uploaded PDF</x:v>
      </x:c>
    </x:row>
    <x:row r="484" ht="36" customHeight="1">
      <x:c r="A484" s="13" t="str">
        <x:v>SYN-PEN1Y-032</x:v>
      </x:c>
      <x:c r="B484" s="13" t="str">
        <x:v>penalty-over-1-year</x:v>
      </x:c>
      <x:c r="C484" s="13" t="str">
        <x:v>Synthetic</x:v>
      </x:c>
      <x:c r="D484" s="13" t="str"/>
      <x:c r="E484" s="13" t="str">
        <x:v>Criminal</x:v>
      </x:c>
      <x:c r="F484" s="13" t="str">
        <x:v>Pagnanakaw ng mamahaling gamit na lampas sa simpleng barangay dispute</x:v>
      </x:c>
      <x:c r="G484" s="13" t="str">
        <x:v>April 15, 2026</x:v>
      </x:c>
      <x:c r="H484" s="13" t="str">
        <x:v>-</x:v>
      </x:c>
      <x:c r="I484" s="13" t="str">
        <x:v>Synthetic example: alleged offense may exceed one-year penalty threshold; refer for legal/prosecutorial handling.</x:v>
      </x:c>
      <x:c r="J484" s="13" t="str">
        <x:v>Refer</x:v>
      </x:c>
      <x:c r="K484" s="13" t="str">
        <x:v>NON_KP_REFERRAL</x:v>
      </x:c>
      <x:c r="L484" s="13" t="str">
        <x:v>Not KP; penalty threshold exceeded</x:v>
      </x:c>
      <x:c r="M484" s="13" t="str">
        <x:v>Refer to PNP/prosecutor/court or proper authority</x:v>
      </x:c>
      <x:c r="N484" s="13" t="str">
        <x:v>Potential penalty exceeds the one-year KP threshold.</x:v>
      </x:c>
      <x:c r="O484" s="13" t="str">
        <x:v>Possible penalty 24 months</x:v>
      </x:c>
      <x:c r="P484" s="13" t="str">
        <x:v>Pagnanakaw ng mamahaling gamit na lampas sa simpleng barangay dispute</x:v>
      </x:c>
      <x:c r="Q484" s="13" t="str">
        <x:v>Added to balance 'penalty-over-1-year' to 49 examples using the same Justice KP label schema.</x:v>
      </x:c>
      <x:c r="R484" s="13" t="str">
        <x:v>Synthetic row based on category coverage gap from uploaded PDF</x:v>
      </x:c>
    </x:row>
    <x:row r="485" ht="36" customHeight="1">
      <x:c r="A485" s="13" t="str">
        <x:v>SYN-PEN1Y-033</x:v>
      </x:c>
      <x:c r="B485" s="13" t="str">
        <x:v>penalty-over-1-year</x:v>
      </x:c>
      <x:c r="C485" s="13" t="str">
        <x:v>Synthetic</x:v>
      </x:c>
      <x:c r="D485" s="13" t="str"/>
      <x:c r="E485" s="13" t="str">
        <x:v>Criminal</x:v>
      </x:c>
      <x:c r="F485" s="13" t="str">
        <x:v>Pananaksak o paggamit ng patalim sa away</x:v>
      </x:c>
      <x:c r="G485" s="13" t="str">
        <x:v>April 18, 2026</x:v>
      </x:c>
      <x:c r="H485" s="13" t="str">
        <x:v>-</x:v>
      </x:c>
      <x:c r="I485" s="13" t="str">
        <x:v>Synthetic example: alleged offense may exceed one-year penalty threshold; refer for legal/prosecutorial handling.</x:v>
      </x:c>
      <x:c r="J485" s="13" t="str">
        <x:v>Refer</x:v>
      </x:c>
      <x:c r="K485" s="13" t="str">
        <x:v>NON_KP_REFERRAL</x:v>
      </x:c>
      <x:c r="L485" s="13" t="str">
        <x:v>Not KP; penalty threshold exceeded</x:v>
      </x:c>
      <x:c r="M485" s="13" t="str">
        <x:v>Refer to PNP/prosecutor/court or proper authority</x:v>
      </x:c>
      <x:c r="N485" s="13" t="str">
        <x:v>Potential penalty exceeds the one-year KP threshold.</x:v>
      </x:c>
      <x:c r="O485" s="13" t="str">
        <x:v>Possible penalty 36 months</x:v>
      </x:c>
      <x:c r="P485" s="13" t="str">
        <x:v>Pananaksak o paggamit ng patalim sa away</x:v>
      </x:c>
      <x:c r="Q485" s="13" t="str">
        <x:v>Added to balance 'penalty-over-1-year' to 49 examples using the same Justice KP label schema.</x:v>
      </x:c>
      <x:c r="R485" s="13" t="str">
        <x:v>Synthetic row based on category coverage gap from uploaded PDF</x:v>
      </x:c>
    </x:row>
    <x:row r="486" ht="36" customHeight="1">
      <x:c r="A486" s="13" t="str">
        <x:v>SYN-PEN1Y-034</x:v>
      </x:c>
      <x:c r="B486" s="13" t="str">
        <x:v>penalty-over-1-year</x:v>
      </x:c>
      <x:c r="C486" s="13" t="str">
        <x:v>Synthetic</x:v>
      </x:c>
      <x:c r="D486" s="13" t="str"/>
      <x:c r="E486" s="13" t="str">
        <x:v>Criminal</x:v>
      </x:c>
      <x:c r="F486" s="13" t="str">
        <x:v>Falsification of public document complaint</x:v>
      </x:c>
      <x:c r="G486" s="13" t="str">
        <x:v>April 21, 2026</x:v>
      </x:c>
      <x:c r="H486" s="13" t="str">
        <x:v>-</x:v>
      </x:c>
      <x:c r="I486" s="13" t="str">
        <x:v>Synthetic example: alleged offense may exceed one-year penalty threshold; refer for legal/prosecutorial handling.</x:v>
      </x:c>
      <x:c r="J486" s="13" t="str">
        <x:v>Refer</x:v>
      </x:c>
      <x:c r="K486" s="13" t="str">
        <x:v>NON_KP_REFERRAL</x:v>
      </x:c>
      <x:c r="L486" s="13" t="str">
        <x:v>Not KP; penalty threshold exceeded</x:v>
      </x:c>
      <x:c r="M486" s="13" t="str">
        <x:v>Refer to PNP/prosecutor/court or proper authority</x:v>
      </x:c>
      <x:c r="N486" s="13" t="str">
        <x:v>Potential penalty exceeds the one-year KP threshold.</x:v>
      </x:c>
      <x:c r="O486" s="13" t="str">
        <x:v>Possible penalty 48 months</x:v>
      </x:c>
      <x:c r="P486" s="13" t="str">
        <x:v>Falsification of public document complaint</x:v>
      </x:c>
      <x:c r="Q486" s="13" t="str">
        <x:v>Added to balance 'penalty-over-1-year' to 49 examples using the same Justice KP label schema.</x:v>
      </x:c>
      <x:c r="R486" s="13" t="str">
        <x:v>Synthetic row based on category coverage gap from uploaded PDF</x:v>
      </x:c>
    </x:row>
    <x:row r="487" ht="36" customHeight="1">
      <x:c r="A487" s="13" t="str">
        <x:v>SYN-PEN1Y-035</x:v>
      </x:c>
      <x:c r="B487" s="13" t="str">
        <x:v>penalty-over-1-year</x:v>
      </x:c>
      <x:c r="C487" s="13" t="str">
        <x:v>Synthetic</x:v>
      </x:c>
      <x:c r="D487" s="13" t="str"/>
      <x:c r="E487" s="13" t="str">
        <x:v>Criminal</x:v>
      </x:c>
      <x:c r="F487" s="13" t="str">
        <x:v>Robbery complaint involving force or intimidation</x:v>
      </x:c>
      <x:c r="G487" s="13" t="str">
        <x:v>April 24, 2026</x:v>
      </x:c>
      <x:c r="H487" s="13" t="str">
        <x:v>-</x:v>
      </x:c>
      <x:c r="I487" s="13" t="str">
        <x:v>Synthetic example: alleged offense may exceed one-year penalty threshold; refer for legal/prosecutorial handling.</x:v>
      </x:c>
      <x:c r="J487" s="13" t="str">
        <x:v>Refer</x:v>
      </x:c>
      <x:c r="K487" s="13" t="str">
        <x:v>NON_KP_REFERRAL</x:v>
      </x:c>
      <x:c r="L487" s="13" t="str">
        <x:v>Not KP; penalty threshold exceeded</x:v>
      </x:c>
      <x:c r="M487" s="13" t="str">
        <x:v>Refer to PNP/prosecutor/court or proper authority</x:v>
      </x:c>
      <x:c r="N487" s="13" t="str">
        <x:v>Potential penalty exceeds the one-year KP threshold.</x:v>
      </x:c>
      <x:c r="O487" s="13" t="str">
        <x:v>Possible penalty 72 months</x:v>
      </x:c>
      <x:c r="P487" s="13" t="str">
        <x:v>Robbery complaint involving force or intimidation</x:v>
      </x:c>
      <x:c r="Q487" s="13" t="str">
        <x:v>Added to balance 'penalty-over-1-year' to 49 examples using the same Justice KP label schema.</x:v>
      </x:c>
      <x:c r="R487" s="13" t="str">
        <x:v>Synthetic row based on category coverage gap from uploaded PDF</x:v>
      </x:c>
    </x:row>
    <x:row r="488" ht="36" customHeight="1">
      <x:c r="A488" s="13" t="str">
        <x:v>SYN-PEN1Y-036</x:v>
      </x:c>
      <x:c r="B488" s="13" t="str">
        <x:v>penalty-over-1-year</x:v>
      </x:c>
      <x:c r="C488" s="13" t="str">
        <x:v>Synthetic</x:v>
      </x:c>
      <x:c r="D488" s="13" t="str"/>
      <x:c r="E488" s="13" t="str">
        <x:v>Criminal</x:v>
      </x:c>
      <x:c r="F488" s="13" t="str">
        <x:v>Serious threats involving arson or deadly weapon</x:v>
      </x:c>
      <x:c r="G488" s="13" t="str">
        <x:v>April 27, 2026</x:v>
      </x:c>
      <x:c r="H488" s="13" t="str">
        <x:v>-</x:v>
      </x:c>
      <x:c r="I488" s="13" t="str">
        <x:v>Synthetic example: alleged offense may exceed one-year penalty threshold; refer for legal/prosecutorial handling.</x:v>
      </x:c>
      <x:c r="J488" s="13" t="str">
        <x:v>Refer</x:v>
      </x:c>
      <x:c r="K488" s="13" t="str">
        <x:v>NON_KP_REFERRAL</x:v>
      </x:c>
      <x:c r="L488" s="13" t="str">
        <x:v>Not KP; penalty threshold exceeded</x:v>
      </x:c>
      <x:c r="M488" s="13" t="str">
        <x:v>Refer to PNP/prosecutor/court or proper authority</x:v>
      </x:c>
      <x:c r="N488" s="13" t="str">
        <x:v>Potential penalty exceeds the one-year KP threshold.</x:v>
      </x:c>
      <x:c r="O488" s="13" t="str">
        <x:v>Possible penalty 18 months</x:v>
      </x:c>
      <x:c r="P488" s="13" t="str">
        <x:v>Serious threats involving arson or deadly weapon</x:v>
      </x:c>
      <x:c r="Q488" s="13" t="str">
        <x:v>Added to balance 'penalty-over-1-year' to 49 examples using the same Justice KP label schema.</x:v>
      </x:c>
      <x:c r="R488" s="13" t="str">
        <x:v>Synthetic row based on category coverage gap from uploaded PDF</x:v>
      </x:c>
    </x:row>
    <x:row r="489" ht="36" customHeight="1">
      <x:c r="A489" s="13" t="str">
        <x:v>SYN-PEN1Y-037</x:v>
      </x:c>
      <x:c r="B489" s="13" t="str">
        <x:v>penalty-over-1-year</x:v>
      </x:c>
      <x:c r="C489" s="13" t="str">
        <x:v>Synthetic</x:v>
      </x:c>
      <x:c r="D489" s="13" t="str"/>
      <x:c r="E489" s="13" t="str">
        <x:v>Criminal</x:v>
      </x:c>
      <x:c r="F489" s="13" t="str">
        <x:v>Qualified trespass with damage to property</x:v>
      </x:c>
      <x:c r="G489" s="13" t="str">
        <x:v>April 30, 2026</x:v>
      </x:c>
      <x:c r="H489" s="13" t="str">
        <x:v>-</x:v>
      </x:c>
      <x:c r="I489" s="13" t="str">
        <x:v>Synthetic example: alleged offense may exceed one-year penalty threshold; refer for legal/prosecutorial handling.</x:v>
      </x:c>
      <x:c r="J489" s="13" t="str">
        <x:v>Refer</x:v>
      </x:c>
      <x:c r="K489" s="13" t="str">
        <x:v>NON_KP_REFERRAL</x:v>
      </x:c>
      <x:c r="L489" s="13" t="str">
        <x:v>Not KP; penalty threshold exceeded</x:v>
      </x:c>
      <x:c r="M489" s="13" t="str">
        <x:v>Refer to PNP/prosecutor/court or proper authority</x:v>
      </x:c>
      <x:c r="N489" s="13" t="str">
        <x:v>Potential penalty exceeds the one-year KP threshold.</x:v>
      </x:c>
      <x:c r="O489" s="13" t="str">
        <x:v>Possible penalty 24 months</x:v>
      </x:c>
      <x:c r="P489" s="13" t="str">
        <x:v>Qualified trespass with damage to property</x:v>
      </x:c>
      <x:c r="Q489" s="13" t="str">
        <x:v>Added to balance 'penalty-over-1-year' to 49 examples using the same Justice KP label schema.</x:v>
      </x:c>
      <x:c r="R489" s="13" t="str">
        <x:v>Synthetic row based on category coverage gap from uploaded PDF</x:v>
      </x:c>
    </x:row>
    <x:row r="490" ht="36" customHeight="1">
      <x:c r="A490" s="13" t="str">
        <x:v>SYN-PEN1Y-038</x:v>
      </x:c>
      <x:c r="B490" s="13" t="str">
        <x:v>penalty-over-1-year</x:v>
      </x:c>
      <x:c r="C490" s="13" t="str">
        <x:v>Synthetic</x:v>
      </x:c>
      <x:c r="D490" s="13" t="str"/>
      <x:c r="E490" s="13" t="str">
        <x:v>Criminal</x:v>
      </x:c>
      <x:c r="F490" s="13" t="str">
        <x:v>Estafa complaint involving large amount and fraud</x:v>
      </x:c>
      <x:c r="G490" s="13" t="str">
        <x:v>May 3, 2026</x:v>
      </x:c>
      <x:c r="H490" s="13" t="str">
        <x:v>-</x:v>
      </x:c>
      <x:c r="I490" s="13" t="str">
        <x:v>Synthetic example: alleged offense may exceed one-year penalty threshold; refer for legal/prosecutorial handling.</x:v>
      </x:c>
      <x:c r="J490" s="13" t="str">
        <x:v>Refer</x:v>
      </x:c>
      <x:c r="K490" s="13" t="str">
        <x:v>NON_KP_REFERRAL</x:v>
      </x:c>
      <x:c r="L490" s="13" t="str">
        <x:v>Not KP; penalty threshold exceeded</x:v>
      </x:c>
      <x:c r="M490" s="13" t="str">
        <x:v>Refer to PNP/prosecutor/court or proper authority</x:v>
      </x:c>
      <x:c r="N490" s="13" t="str">
        <x:v>Potential penalty exceeds the one-year KP threshold.</x:v>
      </x:c>
      <x:c r="O490" s="13" t="str">
        <x:v>Possible penalty 36 months</x:v>
      </x:c>
      <x:c r="P490" s="13" t="str">
        <x:v>Estafa complaint involving large amount and fraud</x:v>
      </x:c>
      <x:c r="Q490" s="13" t="str">
        <x:v>Added to balance 'penalty-over-1-year' to 49 examples using the same Justice KP label schema.</x:v>
      </x:c>
      <x:c r="R490" s="13" t="str">
        <x:v>Synthetic row based on category coverage gap from uploaded PDF</x:v>
      </x:c>
    </x:row>
    <x:row r="491" ht="36" customHeight="1">
      <x:c r="A491" s="13" t="str">
        <x:v>SYN-PEN1Y-039</x:v>
      </x:c>
      <x:c r="B491" s="13" t="str">
        <x:v>penalty-over-1-year</x:v>
      </x:c>
      <x:c r="C491" s="13" t="str">
        <x:v>Synthetic</x:v>
      </x:c>
      <x:c r="D491" s="13" t="str"/>
      <x:c r="E491" s="13" t="str">
        <x:v>Criminal</x:v>
      </x:c>
      <x:c r="F491" s="13" t="str">
        <x:v>Theft of electricity with damage to meter</x:v>
      </x:c>
      <x:c r="G491" s="13" t="str">
        <x:v>May 6, 2026</x:v>
      </x:c>
      <x:c r="H491" s="13" t="str">
        <x:v>-</x:v>
      </x:c>
      <x:c r="I491" s="13" t="str">
        <x:v>Synthetic example: alleged offense may exceed one-year penalty threshold; refer for legal/prosecutorial handling.</x:v>
      </x:c>
      <x:c r="J491" s="13" t="str">
        <x:v>Refer</x:v>
      </x:c>
      <x:c r="K491" s="13" t="str">
        <x:v>NON_KP_REFERRAL</x:v>
      </x:c>
      <x:c r="L491" s="13" t="str">
        <x:v>Not KP; penalty threshold exceeded</x:v>
      </x:c>
      <x:c r="M491" s="13" t="str">
        <x:v>Refer to PNP/prosecutor/court or proper authority</x:v>
      </x:c>
      <x:c r="N491" s="13" t="str">
        <x:v>Potential penalty exceeds the one-year KP threshold.</x:v>
      </x:c>
      <x:c r="O491" s="13" t="str">
        <x:v>Possible penalty 48 months</x:v>
      </x:c>
      <x:c r="P491" s="13" t="str">
        <x:v>Theft of electricity with damage to meter</x:v>
      </x:c>
      <x:c r="Q491" s="13" t="str">
        <x:v>Added to balance 'penalty-over-1-year' to 49 examples using the same Justice KP label schema.</x:v>
      </x:c>
      <x:c r="R491" s="13" t="str">
        <x:v>Synthetic row based on category coverage gap from uploaded PDF</x:v>
      </x:c>
    </x:row>
    <x:row r="492" ht="36" customHeight="1">
      <x:c r="A492" s="13" t="str">
        <x:v>SYN-FINE5K-001</x:v>
      </x:c>
      <x:c r="B492" s="13" t="str">
        <x:v>fine-over-5000</x:v>
      </x:c>
      <x:c r="C492" s="13" t="str">
        <x:v>Synthetic</x:v>
      </x:c>
      <x:c r="D492" s="13" t="str"/>
      <x:c r="E492" s="13" t="str">
        <x:v>Disqualified</x:v>
      </x:c>
      <x:c r="F492" s="13" t="str">
        <x:v>Reklamo sa offense na may statutory fine na ₱6,000</x:v>
      </x:c>
      <x:c r="G492" s="13" t="str">
        <x:v>January 13, 2026</x:v>
      </x:c>
      <x:c r="H492" s="13" t="str">
        <x:v>-</x:v>
      </x:c>
      <x:c r="I492" s="13" t="str">
        <x:v>Synthetic example: possible imposable fine is above ₱5,000; outside KP threshold.</x:v>
      </x:c>
      <x:c r="J492" s="13" t="str">
        <x:v>Refer</x:v>
      </x:c>
      <x:c r="K492" s="13" t="str">
        <x:v>NON_KP_REFERRAL</x:v>
      </x:c>
      <x:c r="L492" s="13" t="str">
        <x:v>Not KP; fine threshold exceeded</x:v>
      </x:c>
      <x:c r="M492" s="13" t="str">
        <x:v>Refer to court/prosecutor/proper agency</x:v>
      </x:c>
      <x:c r="N492" s="13" t="str">
        <x:v>Potential imposable fine exceeds ₱5,000 KP threshold.</x:v>
      </x:c>
      <x:c r="O492" s="13" t="str">
        <x:v>Statutory fine ₱6,000</x:v>
      </x:c>
      <x:c r="P492" s="13" t="str">
        <x:v>Reklamo sa offense na may statutory fine na ₱6,000</x:v>
      </x:c>
      <x:c r="Q492" s="13" t="str">
        <x:v>Added to balance 'fine-over-5000' to 49 examples using the same Justice KP label schema.</x:v>
      </x:c>
      <x:c r="R492" s="13" t="str">
        <x:v>Synthetic row based on category coverage gap from uploaded PDF</x:v>
      </x:c>
    </x:row>
    <x:row r="493" ht="36" customHeight="1">
      <x:c r="A493" s="13" t="str">
        <x:v>SYN-FINE5K-002</x:v>
      </x:c>
      <x:c r="B493" s="13" t="str">
        <x:v>fine-over-5000</x:v>
      </x:c>
      <x:c r="C493" s="13" t="str">
        <x:v>Synthetic</x:v>
      </x:c>
      <x:c r="D493" s="13" t="str"/>
      <x:c r="E493" s="13" t="str">
        <x:v>Disqualified</x:v>
      </x:c>
      <x:c r="F493" s="13" t="str">
        <x:v>Local ordinance violation na may fine na ₱7,500</x:v>
      </x:c>
      <x:c r="G493" s="13" t="str">
        <x:v>January 16, 2026</x:v>
      </x:c>
      <x:c r="H493" s="13" t="str">
        <x:v>-</x:v>
      </x:c>
      <x:c r="I493" s="13" t="str">
        <x:v>Synthetic example: possible imposable fine is above ₱5,000; outside KP threshold.</x:v>
      </x:c>
      <x:c r="J493" s="13" t="str">
        <x:v>Refer</x:v>
      </x:c>
      <x:c r="K493" s="13" t="str">
        <x:v>NON_KP_REFERRAL</x:v>
      </x:c>
      <x:c r="L493" s="13" t="str">
        <x:v>Not KP; fine threshold exceeded</x:v>
      </x:c>
      <x:c r="M493" s="13" t="str">
        <x:v>Refer to court/prosecutor/proper agency</x:v>
      </x:c>
      <x:c r="N493" s="13" t="str">
        <x:v>Potential imposable fine exceeds ₱5,000 KP threshold.</x:v>
      </x:c>
      <x:c r="O493" s="13" t="str">
        <x:v>Statutory fine ₱7,500</x:v>
      </x:c>
      <x:c r="P493" s="13" t="str">
        <x:v>Local ordinance violation na may fine na ₱7,500</x:v>
      </x:c>
      <x:c r="Q493" s="13" t="str">
        <x:v>Added to balance 'fine-over-5000' to 49 examples using the same Justice KP label schema.</x:v>
      </x:c>
      <x:c r="R493" s="13" t="str">
        <x:v>Synthetic row based on category coverage gap from uploaded PDF</x:v>
      </x:c>
    </x:row>
    <x:row r="494" ht="36" customHeight="1">
      <x:c r="A494" s="13" t="str">
        <x:v>SYN-FINE5K-003</x:v>
      </x:c>
      <x:c r="B494" s="13" t="str">
        <x:v>fine-over-5000</x:v>
      </x:c>
      <x:c r="C494" s="13" t="str">
        <x:v>Synthetic</x:v>
      </x:c>
      <x:c r="D494" s="13" t="str"/>
      <x:c r="E494" s="13" t="str">
        <x:v>Disqualified</x:v>
      </x:c>
      <x:c r="F494" s="13" t="str">
        <x:v>Damage complaint with law-indicated fine above ₱5,000</x:v>
      </x:c>
      <x:c r="G494" s="13" t="str">
        <x:v>January 19, 2026</x:v>
      </x:c>
      <x:c r="H494" s="13" t="str">
        <x:v>-</x:v>
      </x:c>
      <x:c r="I494" s="13" t="str">
        <x:v>Synthetic example: possible imposable fine is above ₱5,000; outside KP threshold.</x:v>
      </x:c>
      <x:c r="J494" s="13" t="str">
        <x:v>Refer</x:v>
      </x:c>
      <x:c r="K494" s="13" t="str">
        <x:v>NON_KP_REFERRAL</x:v>
      </x:c>
      <x:c r="L494" s="13" t="str">
        <x:v>Not KP; fine threshold exceeded</x:v>
      </x:c>
      <x:c r="M494" s="13" t="str">
        <x:v>Refer to court/prosecutor/proper agency</x:v>
      </x:c>
      <x:c r="N494" s="13" t="str">
        <x:v>Potential imposable fine exceeds ₱5,000 KP threshold.</x:v>
      </x:c>
      <x:c r="O494" s="13" t="str">
        <x:v>Statutory fine ₱10,000</x:v>
      </x:c>
      <x:c r="P494" s="13" t="str">
        <x:v>Damage complaint with law-indicated fine above ₱5,000</x:v>
      </x:c>
      <x:c r="Q494" s="13" t="str">
        <x:v>Added to balance 'fine-over-5000' to 49 examples using the same Justice KP label schema.</x:v>
      </x:c>
      <x:c r="R494" s="13" t="str">
        <x:v>Synthetic row based on category coverage gap from uploaded PDF</x:v>
      </x:c>
    </x:row>
    <x:row r="495" ht="36" customHeight="1">
      <x:c r="A495" s="13" t="str">
        <x:v>SYN-FINE5K-004</x:v>
      </x:c>
      <x:c r="B495" s="13" t="str">
        <x:v>fine-over-5000</x:v>
      </x:c>
      <x:c r="C495" s="13" t="str">
        <x:v>Synthetic</x:v>
      </x:c>
      <x:c r="D495" s="13" t="str"/>
      <x:c r="E495" s="13" t="str">
        <x:v>Disqualified</x:v>
      </x:c>
      <x:c r="F495" s="13" t="str">
        <x:v>Complaint where imposable fine is ₱10,000 under applicable rule</x:v>
      </x:c>
      <x:c r="G495" s="13" t="str">
        <x:v>January 22, 2026</x:v>
      </x:c>
      <x:c r="H495" s="13" t="str">
        <x:v>-</x:v>
      </x:c>
      <x:c r="I495" s="13" t="str">
        <x:v>Synthetic example: possible imposable fine is above ₱5,000; outside KP threshold.</x:v>
      </x:c>
      <x:c r="J495" s="13" t="str">
        <x:v>Refer</x:v>
      </x:c>
      <x:c r="K495" s="13" t="str">
        <x:v>NON_KP_REFERRAL</x:v>
      </x:c>
      <x:c r="L495" s="13" t="str">
        <x:v>Not KP; fine threshold exceeded</x:v>
      </x:c>
      <x:c r="M495" s="13" t="str">
        <x:v>Refer to court/prosecutor/proper agency</x:v>
      </x:c>
      <x:c r="N495" s="13" t="str">
        <x:v>Potential imposable fine exceeds ₱5,000 KP threshold.</x:v>
      </x:c>
      <x:c r="O495" s="13" t="str">
        <x:v>Statutory fine ₱5,500</x:v>
      </x:c>
      <x:c r="P495" s="13" t="str">
        <x:v>Complaint where imposable fine is ₱10,000 under applicable rule</x:v>
      </x:c>
      <x:c r="Q495" s="13" t="str">
        <x:v>Added to balance 'fine-over-5000' to 49 examples using the same Justice KP label schema.</x:v>
      </x:c>
      <x:c r="R495" s="13" t="str">
        <x:v>Synthetic row based on category coverage gap from uploaded PDF</x:v>
      </x:c>
    </x:row>
    <x:row r="496" ht="36" customHeight="1">
      <x:c r="A496" s="13" t="str">
        <x:v>SYN-FINE5K-005</x:v>
      </x:c>
      <x:c r="B496" s="13" t="str">
        <x:v>fine-over-5000</x:v>
      </x:c>
      <x:c r="C496" s="13" t="str">
        <x:v>Synthetic</x:v>
      </x:c>
      <x:c r="D496" s="13" t="str"/>
      <x:c r="E496" s="13" t="str">
        <x:v>Disqualified</x:v>
      </x:c>
      <x:c r="F496" s="13" t="str">
        <x:v>Violation carrying a fine of ₱5,500 based on cited ordinance</x:v>
      </x:c>
      <x:c r="G496" s="13" t="str">
        <x:v>January 25, 2026</x:v>
      </x:c>
      <x:c r="H496" s="13" t="str">
        <x:v>-</x:v>
      </x:c>
      <x:c r="I496" s="13" t="str">
        <x:v>Synthetic example: possible imposable fine is above ₱5,000; outside KP threshold.</x:v>
      </x:c>
      <x:c r="J496" s="13" t="str">
        <x:v>Refer</x:v>
      </x:c>
      <x:c r="K496" s="13" t="str">
        <x:v>NON_KP_REFERRAL</x:v>
      </x:c>
      <x:c r="L496" s="13" t="str">
        <x:v>Not KP; fine threshold exceeded</x:v>
      </x:c>
      <x:c r="M496" s="13" t="str">
        <x:v>Refer to court/prosecutor/proper agency</x:v>
      </x:c>
      <x:c r="N496" s="13" t="str">
        <x:v>Potential imposable fine exceeds ₱5,000 KP threshold.</x:v>
      </x:c>
      <x:c r="O496" s="13" t="str">
        <x:v>Statutory fine ₱8,000</x:v>
      </x:c>
      <x:c r="P496" s="13" t="str">
        <x:v>Violation carrying a fine of ₱5,500 based on cited ordinance</x:v>
      </x:c>
      <x:c r="Q496" s="13" t="str">
        <x:v>Added to balance 'fine-over-5000' to 49 examples using the same Justice KP label schema.</x:v>
      </x:c>
      <x:c r="R496" s="13" t="str">
        <x:v>Synthetic row based on category coverage gap from uploaded PDF</x:v>
      </x:c>
    </x:row>
    <x:row r="497" ht="36" customHeight="1">
      <x:c r="A497" s="13" t="str">
        <x:v>SYN-FINE5K-006</x:v>
      </x:c>
      <x:c r="B497" s="13" t="str">
        <x:v>fine-over-5000</x:v>
      </x:c>
      <x:c r="C497" s="13" t="str">
        <x:v>Synthetic</x:v>
      </x:c>
      <x:c r="D497" s="13" t="str"/>
      <x:c r="E497" s="13" t="str">
        <x:v>Disqualified</x:v>
      </x:c>
      <x:c r="F497" s="13" t="str">
        <x:v>Regulatory complaint with administrative fine above ₱5,000</x:v>
      </x:c>
      <x:c r="G497" s="13" t="str">
        <x:v>January 28, 2026</x:v>
      </x:c>
      <x:c r="H497" s="13" t="str">
        <x:v>-</x:v>
      </x:c>
      <x:c r="I497" s="13" t="str">
        <x:v>Synthetic example: possible imposable fine is above ₱5,000; outside KP threshold.</x:v>
      </x:c>
      <x:c r="J497" s="13" t="str">
        <x:v>Refer</x:v>
      </x:c>
      <x:c r="K497" s="13" t="str">
        <x:v>NON_KP_REFERRAL</x:v>
      </x:c>
      <x:c r="L497" s="13" t="str">
        <x:v>Not KP; fine threshold exceeded</x:v>
      </x:c>
      <x:c r="M497" s="13" t="str">
        <x:v>Refer to court/prosecutor/proper agency</x:v>
      </x:c>
      <x:c r="N497" s="13" t="str">
        <x:v>Potential imposable fine exceeds ₱5,000 KP threshold.</x:v>
      </x:c>
      <x:c r="O497" s="13" t="str">
        <x:v>Statutory fine ₱12,000</x:v>
      </x:c>
      <x:c r="P497" s="13" t="str">
        <x:v>Regulatory complaint with administrative fine above ₱5,000</x:v>
      </x:c>
      <x:c r="Q497" s="13" t="str">
        <x:v>Added to balance 'fine-over-5000' to 49 examples using the same Justice KP label schema.</x:v>
      </x:c>
      <x:c r="R497" s="13" t="str">
        <x:v>Synthetic row based on category coverage gap from uploaded PDF</x:v>
      </x:c>
    </x:row>
    <x:row r="498" ht="36" customHeight="1">
      <x:c r="A498" s="13" t="str">
        <x:v>SYN-FINE5K-007</x:v>
      </x:c>
      <x:c r="B498" s="13" t="str">
        <x:v>fine-over-5000</x:v>
      </x:c>
      <x:c r="C498" s="13" t="str">
        <x:v>Synthetic</x:v>
      </x:c>
      <x:c r="D498" s="13" t="str"/>
      <x:c r="E498" s="13" t="str">
        <x:v>Disqualified</x:v>
      </x:c>
      <x:c r="F498" s="13" t="str">
        <x:v>Case with possible court-imposed fine of ₱8,000</x:v>
      </x:c>
      <x:c r="G498" s="13" t="str">
        <x:v>January 31, 2026</x:v>
      </x:c>
      <x:c r="H498" s="13" t="str">
        <x:v>-</x:v>
      </x:c>
      <x:c r="I498" s="13" t="str">
        <x:v>Synthetic example: possible imposable fine is above ₱5,000; outside KP threshold.</x:v>
      </x:c>
      <x:c r="J498" s="13" t="str">
        <x:v>Refer</x:v>
      </x:c>
      <x:c r="K498" s="13" t="str">
        <x:v>NON_KP_REFERRAL</x:v>
      </x:c>
      <x:c r="L498" s="13" t="str">
        <x:v>Not KP; fine threshold exceeded</x:v>
      </x:c>
      <x:c r="M498" s="13" t="str">
        <x:v>Refer to court/prosecutor/proper agency</x:v>
      </x:c>
      <x:c r="N498" s="13" t="str">
        <x:v>Potential imposable fine exceeds ₱5,000 KP threshold.</x:v>
      </x:c>
      <x:c r="O498" s="13" t="str">
        <x:v>Statutory fine ₱9,000</x:v>
      </x:c>
      <x:c r="P498" s="13" t="str">
        <x:v>Case with possible court-imposed fine of ₱8,000</x:v>
      </x:c>
      <x:c r="Q498" s="13" t="str">
        <x:v>Added to balance 'fine-over-5000' to 49 examples using the same Justice KP label schema.</x:v>
      </x:c>
      <x:c r="R498" s="13" t="str">
        <x:v>Synthetic row based on category coverage gap from uploaded PDF</x:v>
      </x:c>
    </x:row>
    <x:row r="499" ht="36" customHeight="1">
      <x:c r="A499" s="13" t="str">
        <x:v>SYN-FINE5K-008</x:v>
      </x:c>
      <x:c r="B499" s="13" t="str">
        <x:v>fine-over-5000</x:v>
      </x:c>
      <x:c r="C499" s="13" t="str">
        <x:v>Synthetic</x:v>
      </x:c>
      <x:c r="D499" s="13" t="str"/>
      <x:c r="E499" s="13" t="str">
        <x:v>Disqualified</x:v>
      </x:c>
      <x:c r="F499" s="13" t="str">
        <x:v>Complaint tagged because maximum fine exceeds ₱5,000</x:v>
      </x:c>
      <x:c r="G499" s="13" t="str">
        <x:v>February 3, 2026</x:v>
      </x:c>
      <x:c r="H499" s="13" t="str">
        <x:v>-</x:v>
      </x:c>
      <x:c r="I499" s="13" t="str">
        <x:v>Synthetic example: possible imposable fine is above ₱5,000; outside KP threshold.</x:v>
      </x:c>
      <x:c r="J499" s="13" t="str">
        <x:v>Refer</x:v>
      </x:c>
      <x:c r="K499" s="13" t="str">
        <x:v>NON_KP_REFERRAL</x:v>
      </x:c>
      <x:c r="L499" s="13" t="str">
        <x:v>Not KP; fine threshold exceeded</x:v>
      </x:c>
      <x:c r="M499" s="13" t="str">
        <x:v>Refer to court/prosecutor/proper agency</x:v>
      </x:c>
      <x:c r="N499" s="13" t="str">
        <x:v>Potential imposable fine exceeds ₱5,000 KP threshold.</x:v>
      </x:c>
      <x:c r="O499" s="13" t="str">
        <x:v>Statutory fine ₱6,000</x:v>
      </x:c>
      <x:c r="P499" s="13" t="str">
        <x:v>Complaint tagged because maximum fine exceeds ₱5,000</x:v>
      </x:c>
      <x:c r="Q499" s="13" t="str">
        <x:v>Added to balance 'fine-over-5000' to 49 examples using the same Justice KP label schema.</x:v>
      </x:c>
      <x:c r="R499" s="13" t="str">
        <x:v>Synthetic row based on category coverage gap from uploaded PDF</x:v>
      </x:c>
    </x:row>
    <x:row r="500" ht="36" customHeight="1">
      <x:c r="A500" s="13" t="str">
        <x:v>SYN-FINE5K-009</x:v>
      </x:c>
      <x:c r="B500" s="13" t="str">
        <x:v>fine-over-5000</x:v>
      </x:c>
      <x:c r="C500" s="13" t="str">
        <x:v>Synthetic</x:v>
      </x:c>
      <x:c r="D500" s="13" t="str"/>
      <x:c r="E500" s="13" t="str">
        <x:v>Disqualified</x:v>
      </x:c>
      <x:c r="F500" s="13" t="str">
        <x:v>Offense record showing fine range ₱6,000 to ₱12,000</x:v>
      </x:c>
      <x:c r="G500" s="13" t="str">
        <x:v>February 6, 2026</x:v>
      </x:c>
      <x:c r="H500" s="13" t="str">
        <x:v>-</x:v>
      </x:c>
      <x:c r="I500" s="13" t="str">
        <x:v>Synthetic example: possible imposable fine is above ₱5,000; outside KP threshold.</x:v>
      </x:c>
      <x:c r="J500" s="13" t="str">
        <x:v>Refer</x:v>
      </x:c>
      <x:c r="K500" s="13" t="str">
        <x:v>NON_KP_REFERRAL</x:v>
      </x:c>
      <x:c r="L500" s="13" t="str">
        <x:v>Not KP; fine threshold exceeded</x:v>
      </x:c>
      <x:c r="M500" s="13" t="str">
        <x:v>Refer to court/prosecutor/proper agency</x:v>
      </x:c>
      <x:c r="N500" s="13" t="str">
        <x:v>Potential imposable fine exceeds ₱5,000 KP threshold.</x:v>
      </x:c>
      <x:c r="O500" s="13" t="str">
        <x:v>Statutory fine ₱7,500</x:v>
      </x:c>
      <x:c r="P500" s="13" t="str">
        <x:v>Offense record showing fine range ₱6,000 to ₱12,000</x:v>
      </x:c>
      <x:c r="Q500" s="13" t="str">
        <x:v>Added to balance 'fine-over-5000' to 49 examples using the same Justice KP label schema.</x:v>
      </x:c>
      <x:c r="R500" s="13" t="str">
        <x:v>Synthetic row based on category coverage gap from uploaded PDF</x:v>
      </x:c>
    </x:row>
    <x:row r="501" ht="36" customHeight="1">
      <x:c r="A501" s="13" t="str">
        <x:v>SYN-FINE5K-010</x:v>
      </x:c>
      <x:c r="B501" s="13" t="str">
        <x:v>fine-over-5000</x:v>
      </x:c>
      <x:c r="C501" s="13" t="str">
        <x:v>Synthetic</x:v>
      </x:c>
      <x:c r="D501" s="13" t="str"/>
      <x:c r="E501" s="13" t="str">
        <x:v>Disqualified</x:v>
      </x:c>
      <x:c r="F501" s="13" t="str">
        <x:v>Complaint where statutory fine threshold is above barangay limit</x:v>
      </x:c>
      <x:c r="G501" s="13" t="str">
        <x:v>February 9, 2026</x:v>
      </x:c>
      <x:c r="H501" s="13" t="str">
        <x:v>-</x:v>
      </x:c>
      <x:c r="I501" s="13" t="str">
        <x:v>Synthetic example: possible imposable fine is above ₱5,000; outside KP threshold.</x:v>
      </x:c>
      <x:c r="J501" s="13" t="str">
        <x:v>Refer</x:v>
      </x:c>
      <x:c r="K501" s="13" t="str">
        <x:v>NON_KP_REFERRAL</x:v>
      </x:c>
      <x:c r="L501" s="13" t="str">
        <x:v>Not KP; fine threshold exceeded</x:v>
      </x:c>
      <x:c r="M501" s="13" t="str">
        <x:v>Refer to court/prosecutor/proper agency</x:v>
      </x:c>
      <x:c r="N501" s="13" t="str">
        <x:v>Potential imposable fine exceeds ₱5,000 KP threshold.</x:v>
      </x:c>
      <x:c r="O501" s="13" t="str">
        <x:v>Statutory fine ₱10,000</x:v>
      </x:c>
      <x:c r="P501" s="13" t="str">
        <x:v>Complaint where statutory fine threshold is above barangay limit</x:v>
      </x:c>
      <x:c r="Q501" s="13" t="str">
        <x:v>Added to balance 'fine-over-5000' to 49 examples using the same Justice KP label schema.</x:v>
      </x:c>
      <x:c r="R501" s="13" t="str">
        <x:v>Synthetic row based on category coverage gap from uploaded PDF</x:v>
      </x:c>
    </x:row>
    <x:row r="502" ht="36" customHeight="1">
      <x:c r="A502" s="13" t="str">
        <x:v>SYN-FINE5K-011</x:v>
      </x:c>
      <x:c r="B502" s="13" t="str">
        <x:v>fine-over-5000</x:v>
      </x:c>
      <x:c r="C502" s="13" t="str">
        <x:v>Synthetic</x:v>
      </x:c>
      <x:c r="D502" s="13" t="str"/>
      <x:c r="E502" s="13" t="str">
        <x:v>Disqualified</x:v>
      </x:c>
      <x:c r="F502" s="13" t="str">
        <x:v>Reklamo sa offense na may statutory fine na ₱6,000</x:v>
      </x:c>
      <x:c r="G502" s="13" t="str">
        <x:v>February 12, 2026</x:v>
      </x:c>
      <x:c r="H502" s="13" t="str">
        <x:v>-</x:v>
      </x:c>
      <x:c r="I502" s="13" t="str">
        <x:v>Synthetic example: possible imposable fine is above ₱5,000; outside KP threshold.</x:v>
      </x:c>
      <x:c r="J502" s="13" t="str">
        <x:v>Refer</x:v>
      </x:c>
      <x:c r="K502" s="13" t="str">
        <x:v>NON_KP_REFERRAL</x:v>
      </x:c>
      <x:c r="L502" s="13" t="str">
        <x:v>Not KP; fine threshold exceeded</x:v>
      </x:c>
      <x:c r="M502" s="13" t="str">
        <x:v>Refer to court/prosecutor/proper agency</x:v>
      </x:c>
      <x:c r="N502" s="13" t="str">
        <x:v>Potential imposable fine exceeds ₱5,000 KP threshold.</x:v>
      </x:c>
      <x:c r="O502" s="13" t="str">
        <x:v>Statutory fine ₱5,500</x:v>
      </x:c>
      <x:c r="P502" s="13" t="str">
        <x:v>Reklamo sa offense na may statutory fine na ₱6,000</x:v>
      </x:c>
      <x:c r="Q502" s="13" t="str">
        <x:v>Added to balance 'fine-over-5000' to 49 examples using the same Justice KP label schema.</x:v>
      </x:c>
      <x:c r="R502" s="13" t="str">
        <x:v>Synthetic row based on category coverage gap from uploaded PDF</x:v>
      </x:c>
    </x:row>
    <x:row r="503" ht="36" customHeight="1">
      <x:c r="A503" s="13" t="str">
        <x:v>SYN-FINE5K-012</x:v>
      </x:c>
      <x:c r="B503" s="13" t="str">
        <x:v>fine-over-5000</x:v>
      </x:c>
      <x:c r="C503" s="13" t="str">
        <x:v>Synthetic</x:v>
      </x:c>
      <x:c r="D503" s="13" t="str"/>
      <x:c r="E503" s="13" t="str">
        <x:v>Disqualified</x:v>
      </x:c>
      <x:c r="F503" s="13" t="str">
        <x:v>Local ordinance violation na may fine na ₱7,500</x:v>
      </x:c>
      <x:c r="G503" s="13" t="str">
        <x:v>February 15, 2026</x:v>
      </x:c>
      <x:c r="H503" s="13" t="str">
        <x:v>-</x:v>
      </x:c>
      <x:c r="I503" s="13" t="str">
        <x:v>Synthetic example: possible imposable fine is above ₱5,000; outside KP threshold.</x:v>
      </x:c>
      <x:c r="J503" s="13" t="str">
        <x:v>Refer</x:v>
      </x:c>
      <x:c r="K503" s="13" t="str">
        <x:v>NON_KP_REFERRAL</x:v>
      </x:c>
      <x:c r="L503" s="13" t="str">
        <x:v>Not KP; fine threshold exceeded</x:v>
      </x:c>
      <x:c r="M503" s="13" t="str">
        <x:v>Refer to court/prosecutor/proper agency</x:v>
      </x:c>
      <x:c r="N503" s="13" t="str">
        <x:v>Potential imposable fine exceeds ₱5,000 KP threshold.</x:v>
      </x:c>
      <x:c r="O503" s="13" t="str">
        <x:v>Statutory fine ₱8,000</x:v>
      </x:c>
      <x:c r="P503" s="13" t="str">
        <x:v>Local ordinance violation na may fine na ₱7,500</x:v>
      </x:c>
      <x:c r="Q503" s="13" t="str">
        <x:v>Added to balance 'fine-over-5000' to 49 examples using the same Justice KP label schema.</x:v>
      </x:c>
      <x:c r="R503" s="13" t="str">
        <x:v>Synthetic row based on category coverage gap from uploaded PDF</x:v>
      </x:c>
    </x:row>
    <x:row r="504" ht="36" customHeight="1">
      <x:c r="A504" s="13" t="str">
        <x:v>SYN-FINE5K-013</x:v>
      </x:c>
      <x:c r="B504" s="13" t="str">
        <x:v>fine-over-5000</x:v>
      </x:c>
      <x:c r="C504" s="13" t="str">
        <x:v>Synthetic</x:v>
      </x:c>
      <x:c r="D504" s="13" t="str"/>
      <x:c r="E504" s="13" t="str">
        <x:v>Disqualified</x:v>
      </x:c>
      <x:c r="F504" s="13" t="str">
        <x:v>Damage complaint with law-indicated fine above ₱5,000</x:v>
      </x:c>
      <x:c r="G504" s="13" t="str">
        <x:v>February 18, 2026</x:v>
      </x:c>
      <x:c r="H504" s="13" t="str">
        <x:v>-</x:v>
      </x:c>
      <x:c r="I504" s="13" t="str">
        <x:v>Synthetic example: possible imposable fine is above ₱5,000; outside KP threshold.</x:v>
      </x:c>
      <x:c r="J504" s="13" t="str">
        <x:v>Refer</x:v>
      </x:c>
      <x:c r="K504" s="13" t="str">
        <x:v>NON_KP_REFERRAL</x:v>
      </x:c>
      <x:c r="L504" s="13" t="str">
        <x:v>Not KP; fine threshold exceeded</x:v>
      </x:c>
      <x:c r="M504" s="13" t="str">
        <x:v>Refer to court/prosecutor/proper agency</x:v>
      </x:c>
      <x:c r="N504" s="13" t="str">
        <x:v>Potential imposable fine exceeds ₱5,000 KP threshold.</x:v>
      </x:c>
      <x:c r="O504" s="13" t="str">
        <x:v>Statutory fine ₱12,000</x:v>
      </x:c>
      <x:c r="P504" s="13" t="str">
        <x:v>Damage complaint with law-indicated fine above ₱5,000</x:v>
      </x:c>
      <x:c r="Q504" s="13" t="str">
        <x:v>Added to balance 'fine-over-5000' to 49 examples using the same Justice KP label schema.</x:v>
      </x:c>
      <x:c r="R504" s="13" t="str">
        <x:v>Synthetic row based on category coverage gap from uploaded PDF</x:v>
      </x:c>
    </x:row>
    <x:row r="505" ht="36" customHeight="1">
      <x:c r="A505" s="13" t="str">
        <x:v>SYN-FINE5K-014</x:v>
      </x:c>
      <x:c r="B505" s="13" t="str">
        <x:v>fine-over-5000</x:v>
      </x:c>
      <x:c r="C505" s="13" t="str">
        <x:v>Synthetic</x:v>
      </x:c>
      <x:c r="D505" s="13" t="str"/>
      <x:c r="E505" s="13" t="str">
        <x:v>Disqualified</x:v>
      </x:c>
      <x:c r="F505" s="13" t="str">
        <x:v>Complaint where imposable fine is ₱10,000 under applicable rule</x:v>
      </x:c>
      <x:c r="G505" s="13" t="str">
        <x:v>February 21, 2026</x:v>
      </x:c>
      <x:c r="H505" s="13" t="str">
        <x:v>-</x:v>
      </x:c>
      <x:c r="I505" s="13" t="str">
        <x:v>Synthetic example: possible imposable fine is above ₱5,000; outside KP threshold.</x:v>
      </x:c>
      <x:c r="J505" s="13" t="str">
        <x:v>Refer</x:v>
      </x:c>
      <x:c r="K505" s="13" t="str">
        <x:v>NON_KP_REFERRAL</x:v>
      </x:c>
      <x:c r="L505" s="13" t="str">
        <x:v>Not KP; fine threshold exceeded</x:v>
      </x:c>
      <x:c r="M505" s="13" t="str">
        <x:v>Refer to court/prosecutor/proper agency</x:v>
      </x:c>
      <x:c r="N505" s="13" t="str">
        <x:v>Potential imposable fine exceeds ₱5,000 KP threshold.</x:v>
      </x:c>
      <x:c r="O505" s="13" t="str">
        <x:v>Statutory fine ₱9,000</x:v>
      </x:c>
      <x:c r="P505" s="13" t="str">
        <x:v>Complaint where imposable fine is ₱10,000 under applicable rule</x:v>
      </x:c>
      <x:c r="Q505" s="13" t="str">
        <x:v>Added to balance 'fine-over-5000' to 49 examples using the same Justice KP label schema.</x:v>
      </x:c>
      <x:c r="R505" s="13" t="str">
        <x:v>Synthetic row based on category coverage gap from uploaded PDF</x:v>
      </x:c>
    </x:row>
    <x:row r="506" ht="36" customHeight="1">
      <x:c r="A506" s="13" t="str">
        <x:v>SYN-FINE5K-015</x:v>
      </x:c>
      <x:c r="B506" s="13" t="str">
        <x:v>fine-over-5000</x:v>
      </x:c>
      <x:c r="C506" s="13" t="str">
        <x:v>Synthetic</x:v>
      </x:c>
      <x:c r="D506" s="13" t="str"/>
      <x:c r="E506" s="13" t="str">
        <x:v>Disqualified</x:v>
      </x:c>
      <x:c r="F506" s="13" t="str">
        <x:v>Violation carrying a fine of ₱5,500 based on cited ordinance</x:v>
      </x:c>
      <x:c r="G506" s="13" t="str">
        <x:v>February 24, 2026</x:v>
      </x:c>
      <x:c r="H506" s="13" t="str">
        <x:v>-</x:v>
      </x:c>
      <x:c r="I506" s="13" t="str">
        <x:v>Synthetic example: possible imposable fine is above ₱5,000; outside KP threshold.</x:v>
      </x:c>
      <x:c r="J506" s="13" t="str">
        <x:v>Refer</x:v>
      </x:c>
      <x:c r="K506" s="13" t="str">
        <x:v>NON_KP_REFERRAL</x:v>
      </x:c>
      <x:c r="L506" s="13" t="str">
        <x:v>Not KP; fine threshold exceeded</x:v>
      </x:c>
      <x:c r="M506" s="13" t="str">
        <x:v>Refer to court/prosecutor/proper agency</x:v>
      </x:c>
      <x:c r="N506" s="13" t="str">
        <x:v>Potential imposable fine exceeds ₱5,000 KP threshold.</x:v>
      </x:c>
      <x:c r="O506" s="13" t="str">
        <x:v>Statutory fine ₱6,000</x:v>
      </x:c>
      <x:c r="P506" s="13" t="str">
        <x:v>Violation carrying a fine of ₱5,500 based on cited ordinance</x:v>
      </x:c>
      <x:c r="Q506" s="13" t="str">
        <x:v>Added to balance 'fine-over-5000' to 49 examples using the same Justice KP label schema.</x:v>
      </x:c>
      <x:c r="R506" s="13" t="str">
        <x:v>Synthetic row based on category coverage gap from uploaded PDF</x:v>
      </x:c>
    </x:row>
    <x:row r="507" ht="36" customHeight="1">
      <x:c r="A507" s="13" t="str">
        <x:v>SYN-FINE5K-016</x:v>
      </x:c>
      <x:c r="B507" s="13" t="str">
        <x:v>fine-over-5000</x:v>
      </x:c>
      <x:c r="C507" s="13" t="str">
        <x:v>Synthetic</x:v>
      </x:c>
      <x:c r="D507" s="13" t="str"/>
      <x:c r="E507" s="13" t="str">
        <x:v>Disqualified</x:v>
      </x:c>
      <x:c r="F507" s="13" t="str">
        <x:v>Regulatory complaint with administrative fine above ₱5,000</x:v>
      </x:c>
      <x:c r="G507" s="13" t="str">
        <x:v>February 27, 2026</x:v>
      </x:c>
      <x:c r="H507" s="13" t="str">
        <x:v>-</x:v>
      </x:c>
      <x:c r="I507" s="13" t="str">
        <x:v>Synthetic example: possible imposable fine is above ₱5,000; outside KP threshold.</x:v>
      </x:c>
      <x:c r="J507" s="13" t="str">
        <x:v>Refer</x:v>
      </x:c>
      <x:c r="K507" s="13" t="str">
        <x:v>NON_KP_REFERRAL</x:v>
      </x:c>
      <x:c r="L507" s="13" t="str">
        <x:v>Not KP; fine threshold exceeded</x:v>
      </x:c>
      <x:c r="M507" s="13" t="str">
        <x:v>Refer to court/prosecutor/proper agency</x:v>
      </x:c>
      <x:c r="N507" s="13" t="str">
        <x:v>Potential imposable fine exceeds ₱5,000 KP threshold.</x:v>
      </x:c>
      <x:c r="O507" s="13" t="str">
        <x:v>Statutory fine ₱7,500</x:v>
      </x:c>
      <x:c r="P507" s="13" t="str">
        <x:v>Regulatory complaint with administrative fine above ₱5,000</x:v>
      </x:c>
      <x:c r="Q507" s="13" t="str">
        <x:v>Added to balance 'fine-over-5000' to 49 examples using the same Justice KP label schema.</x:v>
      </x:c>
      <x:c r="R507" s="13" t="str">
        <x:v>Synthetic row based on category coverage gap from uploaded PDF</x:v>
      </x:c>
    </x:row>
    <x:row r="508" ht="36" customHeight="1">
      <x:c r="A508" s="13" t="str">
        <x:v>SYN-FINE5K-017</x:v>
      </x:c>
      <x:c r="B508" s="13" t="str">
        <x:v>fine-over-5000</x:v>
      </x:c>
      <x:c r="C508" s="13" t="str">
        <x:v>Synthetic</x:v>
      </x:c>
      <x:c r="D508" s="13" t="str"/>
      <x:c r="E508" s="13" t="str">
        <x:v>Disqualified</x:v>
      </x:c>
      <x:c r="F508" s="13" t="str">
        <x:v>Case with possible court-imposed fine of ₱8,000</x:v>
      </x:c>
      <x:c r="G508" s="13" t="str">
        <x:v>March 2, 2026</x:v>
      </x:c>
      <x:c r="H508" s="13" t="str">
        <x:v>-</x:v>
      </x:c>
      <x:c r="I508" s="13" t="str">
        <x:v>Synthetic example: possible imposable fine is above ₱5,000; outside KP threshold.</x:v>
      </x:c>
      <x:c r="J508" s="13" t="str">
        <x:v>Refer</x:v>
      </x:c>
      <x:c r="K508" s="13" t="str">
        <x:v>NON_KP_REFERRAL</x:v>
      </x:c>
      <x:c r="L508" s="13" t="str">
        <x:v>Not KP; fine threshold exceeded</x:v>
      </x:c>
      <x:c r="M508" s="13" t="str">
        <x:v>Refer to court/prosecutor/proper agency</x:v>
      </x:c>
      <x:c r="N508" s="13" t="str">
        <x:v>Potential imposable fine exceeds ₱5,000 KP threshold.</x:v>
      </x:c>
      <x:c r="O508" s="13" t="str">
        <x:v>Statutory fine ₱10,000</x:v>
      </x:c>
      <x:c r="P508" s="13" t="str">
        <x:v>Case with possible court-imposed fine of ₱8,000</x:v>
      </x:c>
      <x:c r="Q508" s="13" t="str">
        <x:v>Added to balance 'fine-over-5000' to 49 examples using the same Justice KP label schema.</x:v>
      </x:c>
      <x:c r="R508" s="13" t="str">
        <x:v>Synthetic row based on category coverage gap from uploaded PDF</x:v>
      </x:c>
    </x:row>
    <x:row r="509" ht="36" customHeight="1">
      <x:c r="A509" s="13" t="str">
        <x:v>SYN-FINE5K-018</x:v>
      </x:c>
      <x:c r="B509" s="13" t="str">
        <x:v>fine-over-5000</x:v>
      </x:c>
      <x:c r="C509" s="13" t="str">
        <x:v>Synthetic</x:v>
      </x:c>
      <x:c r="D509" s="13" t="str"/>
      <x:c r="E509" s="13" t="str">
        <x:v>Disqualified</x:v>
      </x:c>
      <x:c r="F509" s="13" t="str">
        <x:v>Complaint tagged because maximum fine exceeds ₱5,000</x:v>
      </x:c>
      <x:c r="G509" s="13" t="str">
        <x:v>March 5, 2026</x:v>
      </x:c>
      <x:c r="H509" s="13" t="str">
        <x:v>-</x:v>
      </x:c>
      <x:c r="I509" s="13" t="str">
        <x:v>Synthetic example: possible imposable fine is above ₱5,000; outside KP threshold.</x:v>
      </x:c>
      <x:c r="J509" s="13" t="str">
        <x:v>Refer</x:v>
      </x:c>
      <x:c r="K509" s="13" t="str">
        <x:v>NON_KP_REFERRAL</x:v>
      </x:c>
      <x:c r="L509" s="13" t="str">
        <x:v>Not KP; fine threshold exceeded</x:v>
      </x:c>
      <x:c r="M509" s="13" t="str">
        <x:v>Refer to court/prosecutor/proper agency</x:v>
      </x:c>
      <x:c r="N509" s="13" t="str">
        <x:v>Potential imposable fine exceeds ₱5,000 KP threshold.</x:v>
      </x:c>
      <x:c r="O509" s="13" t="str">
        <x:v>Statutory fine ₱5,500</x:v>
      </x:c>
      <x:c r="P509" s="13" t="str">
        <x:v>Complaint tagged because maximum fine exceeds ₱5,000</x:v>
      </x:c>
      <x:c r="Q509" s="13" t="str">
        <x:v>Added to balance 'fine-over-5000' to 49 examples using the same Justice KP label schema.</x:v>
      </x:c>
      <x:c r="R509" s="13" t="str">
        <x:v>Synthetic row based on category coverage gap from uploaded PDF</x:v>
      </x:c>
    </x:row>
    <x:row r="510" ht="36" customHeight="1">
      <x:c r="A510" s="13" t="str">
        <x:v>SYN-FINE5K-019</x:v>
      </x:c>
      <x:c r="B510" s="13" t="str">
        <x:v>fine-over-5000</x:v>
      </x:c>
      <x:c r="C510" s="13" t="str">
        <x:v>Synthetic</x:v>
      </x:c>
      <x:c r="D510" s="13" t="str"/>
      <x:c r="E510" s="13" t="str">
        <x:v>Disqualified</x:v>
      </x:c>
      <x:c r="F510" s="13" t="str">
        <x:v>Offense record showing fine range ₱6,000 to ₱12,000</x:v>
      </x:c>
      <x:c r="G510" s="13" t="str">
        <x:v>March 8, 2026</x:v>
      </x:c>
      <x:c r="H510" s="13" t="str">
        <x:v>-</x:v>
      </x:c>
      <x:c r="I510" s="13" t="str">
        <x:v>Synthetic example: possible imposable fine is above ₱5,000; outside KP threshold.</x:v>
      </x:c>
      <x:c r="J510" s="13" t="str">
        <x:v>Refer</x:v>
      </x:c>
      <x:c r="K510" s="13" t="str">
        <x:v>NON_KP_REFERRAL</x:v>
      </x:c>
      <x:c r="L510" s="13" t="str">
        <x:v>Not KP; fine threshold exceeded</x:v>
      </x:c>
      <x:c r="M510" s="13" t="str">
        <x:v>Refer to court/prosecutor/proper agency</x:v>
      </x:c>
      <x:c r="N510" s="13" t="str">
        <x:v>Potential imposable fine exceeds ₱5,000 KP threshold.</x:v>
      </x:c>
      <x:c r="O510" s="13" t="str">
        <x:v>Statutory fine ₱8,000</x:v>
      </x:c>
      <x:c r="P510" s="13" t="str">
        <x:v>Offense record showing fine range ₱6,000 to ₱12,000</x:v>
      </x:c>
      <x:c r="Q510" s="13" t="str">
        <x:v>Added to balance 'fine-over-5000' to 49 examples using the same Justice KP label schema.</x:v>
      </x:c>
      <x:c r="R510" s="13" t="str">
        <x:v>Synthetic row based on category coverage gap from uploaded PDF</x:v>
      </x:c>
    </x:row>
    <x:row r="511" ht="36" customHeight="1">
      <x:c r="A511" s="13" t="str">
        <x:v>SYN-FINE5K-020</x:v>
      </x:c>
      <x:c r="B511" s="13" t="str">
        <x:v>fine-over-5000</x:v>
      </x:c>
      <x:c r="C511" s="13" t="str">
        <x:v>Synthetic</x:v>
      </x:c>
      <x:c r="D511" s="13" t="str"/>
      <x:c r="E511" s="13" t="str">
        <x:v>Disqualified</x:v>
      </x:c>
      <x:c r="F511" s="13" t="str">
        <x:v>Complaint where statutory fine threshold is above barangay limit</x:v>
      </x:c>
      <x:c r="G511" s="13" t="str">
        <x:v>March 11, 2026</x:v>
      </x:c>
      <x:c r="H511" s="13" t="str">
        <x:v>-</x:v>
      </x:c>
      <x:c r="I511" s="13" t="str">
        <x:v>Synthetic example: possible imposable fine is above ₱5,000; outside KP threshold.</x:v>
      </x:c>
      <x:c r="J511" s="13" t="str">
        <x:v>Refer</x:v>
      </x:c>
      <x:c r="K511" s="13" t="str">
        <x:v>NON_KP_REFERRAL</x:v>
      </x:c>
      <x:c r="L511" s="13" t="str">
        <x:v>Not KP; fine threshold exceeded</x:v>
      </x:c>
      <x:c r="M511" s="13" t="str">
        <x:v>Refer to court/prosecutor/proper agency</x:v>
      </x:c>
      <x:c r="N511" s="13" t="str">
        <x:v>Potential imposable fine exceeds ₱5,000 KP threshold.</x:v>
      </x:c>
      <x:c r="O511" s="13" t="str">
        <x:v>Statutory fine ₱12,000</x:v>
      </x:c>
      <x:c r="P511" s="13" t="str">
        <x:v>Complaint where statutory fine threshold is above barangay limit</x:v>
      </x:c>
      <x:c r="Q511" s="13" t="str">
        <x:v>Added to balance 'fine-over-5000' to 49 examples using the same Justice KP label schema.</x:v>
      </x:c>
      <x:c r="R511" s="13" t="str">
        <x:v>Synthetic row based on category coverage gap from uploaded PDF</x:v>
      </x:c>
    </x:row>
    <x:row r="512" ht="36" customHeight="1">
      <x:c r="A512" s="13" t="str">
        <x:v>SYN-FINE5K-021</x:v>
      </x:c>
      <x:c r="B512" s="13" t="str">
        <x:v>fine-over-5000</x:v>
      </x:c>
      <x:c r="C512" s="13" t="str">
        <x:v>Synthetic</x:v>
      </x:c>
      <x:c r="D512" s="13" t="str"/>
      <x:c r="E512" s="13" t="str">
        <x:v>Disqualified</x:v>
      </x:c>
      <x:c r="F512" s="13" t="str">
        <x:v>Reklamo sa offense na may statutory fine na ₱6,000</x:v>
      </x:c>
      <x:c r="G512" s="13" t="str">
        <x:v>March 14, 2026</x:v>
      </x:c>
      <x:c r="H512" s="13" t="str">
        <x:v>-</x:v>
      </x:c>
      <x:c r="I512" s="13" t="str">
        <x:v>Synthetic example: possible imposable fine is above ₱5,000; outside KP threshold.</x:v>
      </x:c>
      <x:c r="J512" s="13" t="str">
        <x:v>Refer</x:v>
      </x:c>
      <x:c r="K512" s="13" t="str">
        <x:v>NON_KP_REFERRAL</x:v>
      </x:c>
      <x:c r="L512" s="13" t="str">
        <x:v>Not KP; fine threshold exceeded</x:v>
      </x:c>
      <x:c r="M512" s="13" t="str">
        <x:v>Refer to court/prosecutor/proper agency</x:v>
      </x:c>
      <x:c r="N512" s="13" t="str">
        <x:v>Potential imposable fine exceeds ₱5,000 KP threshold.</x:v>
      </x:c>
      <x:c r="O512" s="13" t="str">
        <x:v>Statutory fine ₱9,000</x:v>
      </x:c>
      <x:c r="P512" s="13" t="str">
        <x:v>Reklamo sa offense na may statutory fine na ₱6,000</x:v>
      </x:c>
      <x:c r="Q512" s="13" t="str">
        <x:v>Added to balance 'fine-over-5000' to 49 examples using the same Justice KP label schema.</x:v>
      </x:c>
      <x:c r="R512" s="13" t="str">
        <x:v>Synthetic row based on category coverage gap from uploaded PDF</x:v>
      </x:c>
    </x:row>
    <x:row r="513" ht="36" customHeight="1">
      <x:c r="A513" s="13" t="str">
        <x:v>SYN-FINE5K-022</x:v>
      </x:c>
      <x:c r="B513" s="13" t="str">
        <x:v>fine-over-5000</x:v>
      </x:c>
      <x:c r="C513" s="13" t="str">
        <x:v>Synthetic</x:v>
      </x:c>
      <x:c r="D513" s="13" t="str"/>
      <x:c r="E513" s="13" t="str">
        <x:v>Disqualified</x:v>
      </x:c>
      <x:c r="F513" s="13" t="str">
        <x:v>Local ordinance violation na may fine na ₱7,500</x:v>
      </x:c>
      <x:c r="G513" s="13" t="str">
        <x:v>March 17, 2026</x:v>
      </x:c>
      <x:c r="H513" s="13" t="str">
        <x:v>-</x:v>
      </x:c>
      <x:c r="I513" s="13" t="str">
        <x:v>Synthetic example: possible imposable fine is above ₱5,000; outside KP threshold.</x:v>
      </x:c>
      <x:c r="J513" s="13" t="str">
        <x:v>Refer</x:v>
      </x:c>
      <x:c r="K513" s="13" t="str">
        <x:v>NON_KP_REFERRAL</x:v>
      </x:c>
      <x:c r="L513" s="13" t="str">
        <x:v>Not KP; fine threshold exceeded</x:v>
      </x:c>
      <x:c r="M513" s="13" t="str">
        <x:v>Refer to court/prosecutor/proper agency</x:v>
      </x:c>
      <x:c r="N513" s="13" t="str">
        <x:v>Potential imposable fine exceeds ₱5,000 KP threshold.</x:v>
      </x:c>
      <x:c r="O513" s="13" t="str">
        <x:v>Statutory fine ₱6,000</x:v>
      </x:c>
      <x:c r="P513" s="13" t="str">
        <x:v>Local ordinance violation na may fine na ₱7,500</x:v>
      </x:c>
      <x:c r="Q513" s="13" t="str">
        <x:v>Added to balance 'fine-over-5000' to 49 examples using the same Justice KP label schema.</x:v>
      </x:c>
      <x:c r="R513" s="13" t="str">
        <x:v>Synthetic row based on category coverage gap from uploaded PDF</x:v>
      </x:c>
    </x:row>
    <x:row r="514" ht="36" customHeight="1">
      <x:c r="A514" s="13" t="str">
        <x:v>SYN-FINE5K-023</x:v>
      </x:c>
      <x:c r="B514" s="13" t="str">
        <x:v>fine-over-5000</x:v>
      </x:c>
      <x:c r="C514" s="13" t="str">
        <x:v>Synthetic</x:v>
      </x:c>
      <x:c r="D514" s="13" t="str"/>
      <x:c r="E514" s="13" t="str">
        <x:v>Disqualified</x:v>
      </x:c>
      <x:c r="F514" s="13" t="str">
        <x:v>Damage complaint with law-indicated fine above ₱5,000</x:v>
      </x:c>
      <x:c r="G514" s="13" t="str">
        <x:v>March 20, 2026</x:v>
      </x:c>
      <x:c r="H514" s="13" t="str">
        <x:v>-</x:v>
      </x:c>
      <x:c r="I514" s="13" t="str">
        <x:v>Synthetic example: possible imposable fine is above ₱5,000; outside KP threshold.</x:v>
      </x:c>
      <x:c r="J514" s="13" t="str">
        <x:v>Refer</x:v>
      </x:c>
      <x:c r="K514" s="13" t="str">
        <x:v>NON_KP_REFERRAL</x:v>
      </x:c>
      <x:c r="L514" s="13" t="str">
        <x:v>Not KP; fine threshold exceeded</x:v>
      </x:c>
      <x:c r="M514" s="13" t="str">
        <x:v>Refer to court/prosecutor/proper agency</x:v>
      </x:c>
      <x:c r="N514" s="13" t="str">
        <x:v>Potential imposable fine exceeds ₱5,000 KP threshold.</x:v>
      </x:c>
      <x:c r="O514" s="13" t="str">
        <x:v>Statutory fine ₱7,500</x:v>
      </x:c>
      <x:c r="P514" s="13" t="str">
        <x:v>Damage complaint with law-indicated fine above ₱5,000</x:v>
      </x:c>
      <x:c r="Q514" s="13" t="str">
        <x:v>Added to balance 'fine-over-5000' to 49 examples using the same Justice KP label schema.</x:v>
      </x:c>
      <x:c r="R514" s="13" t="str">
        <x:v>Synthetic row based on category coverage gap from uploaded PDF</x:v>
      </x:c>
    </x:row>
    <x:row r="515" ht="36" customHeight="1">
      <x:c r="A515" s="13" t="str">
        <x:v>SYN-FINE5K-024</x:v>
      </x:c>
      <x:c r="B515" s="13" t="str">
        <x:v>fine-over-5000</x:v>
      </x:c>
      <x:c r="C515" s="13" t="str">
        <x:v>Synthetic</x:v>
      </x:c>
      <x:c r="D515" s="13" t="str"/>
      <x:c r="E515" s="13" t="str">
        <x:v>Disqualified</x:v>
      </x:c>
      <x:c r="F515" s="13" t="str">
        <x:v>Complaint where imposable fine is ₱10,000 under applicable rule</x:v>
      </x:c>
      <x:c r="G515" s="13" t="str">
        <x:v>March 23, 2026</x:v>
      </x:c>
      <x:c r="H515" s="13" t="str">
        <x:v>-</x:v>
      </x:c>
      <x:c r="I515" s="13" t="str">
        <x:v>Synthetic example: possible imposable fine is above ₱5,000; outside KP threshold.</x:v>
      </x:c>
      <x:c r="J515" s="13" t="str">
        <x:v>Refer</x:v>
      </x:c>
      <x:c r="K515" s="13" t="str">
        <x:v>NON_KP_REFERRAL</x:v>
      </x:c>
      <x:c r="L515" s="13" t="str">
        <x:v>Not KP; fine threshold exceeded</x:v>
      </x:c>
      <x:c r="M515" s="13" t="str">
        <x:v>Refer to court/prosecutor/proper agency</x:v>
      </x:c>
      <x:c r="N515" s="13" t="str">
        <x:v>Potential imposable fine exceeds ₱5,000 KP threshold.</x:v>
      </x:c>
      <x:c r="O515" s="13" t="str">
        <x:v>Statutory fine ₱10,000</x:v>
      </x:c>
      <x:c r="P515" s="13" t="str">
        <x:v>Complaint where imposable fine is ₱10,000 under applicable rule</x:v>
      </x:c>
      <x:c r="Q515" s="13" t="str">
        <x:v>Added to balance 'fine-over-5000' to 49 examples using the same Justice KP label schema.</x:v>
      </x:c>
      <x:c r="R515" s="13" t="str">
        <x:v>Synthetic row based on category coverage gap from uploaded PDF</x:v>
      </x:c>
    </x:row>
    <x:row r="516" ht="36" customHeight="1">
      <x:c r="A516" s="13" t="str">
        <x:v>SYN-FINE5K-025</x:v>
      </x:c>
      <x:c r="B516" s="13" t="str">
        <x:v>fine-over-5000</x:v>
      </x:c>
      <x:c r="C516" s="13" t="str">
        <x:v>Synthetic</x:v>
      </x:c>
      <x:c r="D516" s="13" t="str"/>
      <x:c r="E516" s="13" t="str">
        <x:v>Disqualified</x:v>
      </x:c>
      <x:c r="F516" s="13" t="str">
        <x:v>Violation carrying a fine of ₱5,500 based on cited ordinance</x:v>
      </x:c>
      <x:c r="G516" s="13" t="str">
        <x:v>March 26, 2026</x:v>
      </x:c>
      <x:c r="H516" s="13" t="str">
        <x:v>-</x:v>
      </x:c>
      <x:c r="I516" s="13" t="str">
        <x:v>Synthetic example: possible imposable fine is above ₱5,000; outside KP threshold.</x:v>
      </x:c>
      <x:c r="J516" s="13" t="str">
        <x:v>Refer</x:v>
      </x:c>
      <x:c r="K516" s="13" t="str">
        <x:v>NON_KP_REFERRAL</x:v>
      </x:c>
      <x:c r="L516" s="13" t="str">
        <x:v>Not KP; fine threshold exceeded</x:v>
      </x:c>
      <x:c r="M516" s="13" t="str">
        <x:v>Refer to court/prosecutor/proper agency</x:v>
      </x:c>
      <x:c r="N516" s="13" t="str">
        <x:v>Potential imposable fine exceeds ₱5,000 KP threshold.</x:v>
      </x:c>
      <x:c r="O516" s="13" t="str">
        <x:v>Statutory fine ₱5,500</x:v>
      </x:c>
      <x:c r="P516" s="13" t="str">
        <x:v>Violation carrying a fine of ₱5,500 based on cited ordinance</x:v>
      </x:c>
      <x:c r="Q516" s="13" t="str">
        <x:v>Added to balance 'fine-over-5000' to 49 examples using the same Justice KP label schema.</x:v>
      </x:c>
      <x:c r="R516" s="13" t="str">
        <x:v>Synthetic row based on category coverage gap from uploaded PDF</x:v>
      </x:c>
    </x:row>
    <x:row r="517" ht="36" customHeight="1">
      <x:c r="A517" s="13" t="str">
        <x:v>SYN-FINE5K-026</x:v>
      </x:c>
      <x:c r="B517" s="13" t="str">
        <x:v>fine-over-5000</x:v>
      </x:c>
      <x:c r="C517" s="13" t="str">
        <x:v>Synthetic</x:v>
      </x:c>
      <x:c r="D517" s="13" t="str"/>
      <x:c r="E517" s="13" t="str">
        <x:v>Disqualified</x:v>
      </x:c>
      <x:c r="F517" s="13" t="str">
        <x:v>Regulatory complaint with administrative fine above ₱5,000</x:v>
      </x:c>
      <x:c r="G517" s="13" t="str">
        <x:v>March 29, 2026</x:v>
      </x:c>
      <x:c r="H517" s="13" t="str">
        <x:v>-</x:v>
      </x:c>
      <x:c r="I517" s="13" t="str">
        <x:v>Synthetic example: possible imposable fine is above ₱5,000; outside KP threshold.</x:v>
      </x:c>
      <x:c r="J517" s="13" t="str">
        <x:v>Refer</x:v>
      </x:c>
      <x:c r="K517" s="13" t="str">
        <x:v>NON_KP_REFERRAL</x:v>
      </x:c>
      <x:c r="L517" s="13" t="str">
        <x:v>Not KP; fine threshold exceeded</x:v>
      </x:c>
      <x:c r="M517" s="13" t="str">
        <x:v>Refer to court/prosecutor/proper agency</x:v>
      </x:c>
      <x:c r="N517" s="13" t="str">
        <x:v>Potential imposable fine exceeds ₱5,000 KP threshold.</x:v>
      </x:c>
      <x:c r="O517" s="13" t="str">
        <x:v>Statutory fine ₱8,000</x:v>
      </x:c>
      <x:c r="P517" s="13" t="str">
        <x:v>Regulatory complaint with administrative fine above ₱5,000</x:v>
      </x:c>
      <x:c r="Q517" s="13" t="str">
        <x:v>Added to balance 'fine-over-5000' to 49 examples using the same Justice KP label schema.</x:v>
      </x:c>
      <x:c r="R517" s="13" t="str">
        <x:v>Synthetic row based on category coverage gap from uploaded PDF</x:v>
      </x:c>
    </x:row>
    <x:row r="518" ht="36" customHeight="1">
      <x:c r="A518" s="13" t="str">
        <x:v>SYN-FINE5K-027</x:v>
      </x:c>
      <x:c r="B518" s="13" t="str">
        <x:v>fine-over-5000</x:v>
      </x:c>
      <x:c r="C518" s="13" t="str">
        <x:v>Synthetic</x:v>
      </x:c>
      <x:c r="D518" s="13" t="str"/>
      <x:c r="E518" s="13" t="str">
        <x:v>Disqualified</x:v>
      </x:c>
      <x:c r="F518" s="13" t="str">
        <x:v>Case with possible court-imposed fine of ₱8,000</x:v>
      </x:c>
      <x:c r="G518" s="13" t="str">
        <x:v>April 1, 2026</x:v>
      </x:c>
      <x:c r="H518" s="13" t="str">
        <x:v>-</x:v>
      </x:c>
      <x:c r="I518" s="13" t="str">
        <x:v>Synthetic example: possible imposable fine is above ₱5,000; outside KP threshold.</x:v>
      </x:c>
      <x:c r="J518" s="13" t="str">
        <x:v>Refer</x:v>
      </x:c>
      <x:c r="K518" s="13" t="str">
        <x:v>NON_KP_REFERRAL</x:v>
      </x:c>
      <x:c r="L518" s="13" t="str">
        <x:v>Not KP; fine threshold exceeded</x:v>
      </x:c>
      <x:c r="M518" s="13" t="str">
        <x:v>Refer to court/prosecutor/proper agency</x:v>
      </x:c>
      <x:c r="N518" s="13" t="str">
        <x:v>Potential imposable fine exceeds ₱5,000 KP threshold.</x:v>
      </x:c>
      <x:c r="O518" s="13" t="str">
        <x:v>Statutory fine ₱12,000</x:v>
      </x:c>
      <x:c r="P518" s="13" t="str">
        <x:v>Case with possible court-imposed fine of ₱8,000</x:v>
      </x:c>
      <x:c r="Q518" s="13" t="str">
        <x:v>Added to balance 'fine-over-5000' to 49 examples using the same Justice KP label schema.</x:v>
      </x:c>
      <x:c r="R518" s="13" t="str">
        <x:v>Synthetic row based on category coverage gap from uploaded PDF</x:v>
      </x:c>
    </x:row>
    <x:row r="519" ht="36" customHeight="1">
      <x:c r="A519" s="13" t="str">
        <x:v>SYN-FINE5K-028</x:v>
      </x:c>
      <x:c r="B519" s="13" t="str">
        <x:v>fine-over-5000</x:v>
      </x:c>
      <x:c r="C519" s="13" t="str">
        <x:v>Synthetic</x:v>
      </x:c>
      <x:c r="D519" s="13" t="str"/>
      <x:c r="E519" s="13" t="str">
        <x:v>Disqualified</x:v>
      </x:c>
      <x:c r="F519" s="13" t="str">
        <x:v>Complaint tagged because maximum fine exceeds ₱5,000</x:v>
      </x:c>
      <x:c r="G519" s="13" t="str">
        <x:v>April 4, 2026</x:v>
      </x:c>
      <x:c r="H519" s="13" t="str">
        <x:v>-</x:v>
      </x:c>
      <x:c r="I519" s="13" t="str">
        <x:v>Synthetic example: possible imposable fine is above ₱5,000; outside KP threshold.</x:v>
      </x:c>
      <x:c r="J519" s="13" t="str">
        <x:v>Refer</x:v>
      </x:c>
      <x:c r="K519" s="13" t="str">
        <x:v>NON_KP_REFERRAL</x:v>
      </x:c>
      <x:c r="L519" s="13" t="str">
        <x:v>Not KP; fine threshold exceeded</x:v>
      </x:c>
      <x:c r="M519" s="13" t="str">
        <x:v>Refer to court/prosecutor/proper agency</x:v>
      </x:c>
      <x:c r="N519" s="13" t="str">
        <x:v>Potential imposable fine exceeds ₱5,000 KP threshold.</x:v>
      </x:c>
      <x:c r="O519" s="13" t="str">
        <x:v>Statutory fine ₱9,000</x:v>
      </x:c>
      <x:c r="P519" s="13" t="str">
        <x:v>Complaint tagged because maximum fine exceeds ₱5,000</x:v>
      </x:c>
      <x:c r="Q519" s="13" t="str">
        <x:v>Added to balance 'fine-over-5000' to 49 examples using the same Justice KP label schema.</x:v>
      </x:c>
      <x:c r="R519" s="13" t="str">
        <x:v>Synthetic row based on category coverage gap from uploaded PDF</x:v>
      </x:c>
    </x:row>
    <x:row r="520" ht="36" customHeight="1">
      <x:c r="A520" s="13" t="str">
        <x:v>SYN-FINE5K-029</x:v>
      </x:c>
      <x:c r="B520" s="13" t="str">
        <x:v>fine-over-5000</x:v>
      </x:c>
      <x:c r="C520" s="13" t="str">
        <x:v>Synthetic</x:v>
      </x:c>
      <x:c r="D520" s="13" t="str"/>
      <x:c r="E520" s="13" t="str">
        <x:v>Disqualified</x:v>
      </x:c>
      <x:c r="F520" s="13" t="str">
        <x:v>Offense record showing fine range ₱6,000 to ₱12,000</x:v>
      </x:c>
      <x:c r="G520" s="13" t="str">
        <x:v>April 7, 2026</x:v>
      </x:c>
      <x:c r="H520" s="13" t="str">
        <x:v>-</x:v>
      </x:c>
      <x:c r="I520" s="13" t="str">
        <x:v>Synthetic example: possible imposable fine is above ₱5,000; outside KP threshold.</x:v>
      </x:c>
      <x:c r="J520" s="13" t="str">
        <x:v>Refer</x:v>
      </x:c>
      <x:c r="K520" s="13" t="str">
        <x:v>NON_KP_REFERRAL</x:v>
      </x:c>
      <x:c r="L520" s="13" t="str">
        <x:v>Not KP; fine threshold exceeded</x:v>
      </x:c>
      <x:c r="M520" s="13" t="str">
        <x:v>Refer to court/prosecutor/proper agency</x:v>
      </x:c>
      <x:c r="N520" s="13" t="str">
        <x:v>Potential imposable fine exceeds ₱5,000 KP threshold.</x:v>
      </x:c>
      <x:c r="O520" s="13" t="str">
        <x:v>Statutory fine ₱6,000</x:v>
      </x:c>
      <x:c r="P520" s="13" t="str">
        <x:v>Offense record showing fine range ₱6,000 to ₱12,000</x:v>
      </x:c>
      <x:c r="Q520" s="13" t="str">
        <x:v>Added to balance 'fine-over-5000' to 49 examples using the same Justice KP label schema.</x:v>
      </x:c>
      <x:c r="R520" s="13" t="str">
        <x:v>Synthetic row based on category coverage gap from uploaded PDF</x:v>
      </x:c>
    </x:row>
    <x:row r="521" ht="36" customHeight="1">
      <x:c r="A521" s="13" t="str">
        <x:v>SYN-FINE5K-030</x:v>
      </x:c>
      <x:c r="B521" s="13" t="str">
        <x:v>fine-over-5000</x:v>
      </x:c>
      <x:c r="C521" s="13" t="str">
        <x:v>Synthetic</x:v>
      </x:c>
      <x:c r="D521" s="13" t="str"/>
      <x:c r="E521" s="13" t="str">
        <x:v>Disqualified</x:v>
      </x:c>
      <x:c r="F521" s="13" t="str">
        <x:v>Complaint where statutory fine threshold is above barangay limit</x:v>
      </x:c>
      <x:c r="G521" s="13" t="str">
        <x:v>April 10, 2026</x:v>
      </x:c>
      <x:c r="H521" s="13" t="str">
        <x:v>-</x:v>
      </x:c>
      <x:c r="I521" s="13" t="str">
        <x:v>Synthetic example: possible imposable fine is above ₱5,000; outside KP threshold.</x:v>
      </x:c>
      <x:c r="J521" s="13" t="str">
        <x:v>Refer</x:v>
      </x:c>
      <x:c r="K521" s="13" t="str">
        <x:v>NON_KP_REFERRAL</x:v>
      </x:c>
      <x:c r="L521" s="13" t="str">
        <x:v>Not KP; fine threshold exceeded</x:v>
      </x:c>
      <x:c r="M521" s="13" t="str">
        <x:v>Refer to court/prosecutor/proper agency</x:v>
      </x:c>
      <x:c r="N521" s="13" t="str">
        <x:v>Potential imposable fine exceeds ₱5,000 KP threshold.</x:v>
      </x:c>
      <x:c r="O521" s="13" t="str">
        <x:v>Statutory fine ₱7,500</x:v>
      </x:c>
      <x:c r="P521" s="13" t="str">
        <x:v>Complaint where statutory fine threshold is above barangay limit</x:v>
      </x:c>
      <x:c r="Q521" s="13" t="str">
        <x:v>Added to balance 'fine-over-5000' to 49 examples using the same Justice KP label schema.</x:v>
      </x:c>
      <x:c r="R521" s="13" t="str">
        <x:v>Synthetic row based on category coverage gap from uploaded PDF</x:v>
      </x:c>
    </x:row>
    <x:row r="522" ht="36" customHeight="1">
      <x:c r="A522" s="13" t="str">
        <x:v>SYN-FINE5K-031</x:v>
      </x:c>
      <x:c r="B522" s="13" t="str">
        <x:v>fine-over-5000</x:v>
      </x:c>
      <x:c r="C522" s="13" t="str">
        <x:v>Synthetic</x:v>
      </x:c>
      <x:c r="D522" s="13" t="str"/>
      <x:c r="E522" s="13" t="str">
        <x:v>Disqualified</x:v>
      </x:c>
      <x:c r="F522" s="13" t="str">
        <x:v>Reklamo sa offense na may statutory fine na ₱6,000</x:v>
      </x:c>
      <x:c r="G522" s="13" t="str">
        <x:v>April 13, 2026</x:v>
      </x:c>
      <x:c r="H522" s="13" t="str">
        <x:v>-</x:v>
      </x:c>
      <x:c r="I522" s="13" t="str">
        <x:v>Synthetic example: possible imposable fine is above ₱5,000; outside KP threshold.</x:v>
      </x:c>
      <x:c r="J522" s="13" t="str">
        <x:v>Refer</x:v>
      </x:c>
      <x:c r="K522" s="13" t="str">
        <x:v>NON_KP_REFERRAL</x:v>
      </x:c>
      <x:c r="L522" s="13" t="str">
        <x:v>Not KP; fine threshold exceeded</x:v>
      </x:c>
      <x:c r="M522" s="13" t="str">
        <x:v>Refer to court/prosecutor/proper agency</x:v>
      </x:c>
      <x:c r="N522" s="13" t="str">
        <x:v>Potential imposable fine exceeds ₱5,000 KP threshold.</x:v>
      </x:c>
      <x:c r="O522" s="13" t="str">
        <x:v>Statutory fine ₱10,000</x:v>
      </x:c>
      <x:c r="P522" s="13" t="str">
        <x:v>Reklamo sa offense na may statutory fine na ₱6,000</x:v>
      </x:c>
      <x:c r="Q522" s="13" t="str">
        <x:v>Added to balance 'fine-over-5000' to 49 examples using the same Justice KP label schema.</x:v>
      </x:c>
      <x:c r="R522" s="13" t="str">
        <x:v>Synthetic row based on category coverage gap from uploaded PDF</x:v>
      </x:c>
    </x:row>
    <x:row r="523" ht="36" customHeight="1">
      <x:c r="A523" s="13" t="str">
        <x:v>SYN-FINE5K-032</x:v>
      </x:c>
      <x:c r="B523" s="13" t="str">
        <x:v>fine-over-5000</x:v>
      </x:c>
      <x:c r="C523" s="13" t="str">
        <x:v>Synthetic</x:v>
      </x:c>
      <x:c r="D523" s="13" t="str"/>
      <x:c r="E523" s="13" t="str">
        <x:v>Disqualified</x:v>
      </x:c>
      <x:c r="F523" s="13" t="str">
        <x:v>Local ordinance violation na may fine na ₱7,500</x:v>
      </x:c>
      <x:c r="G523" s="13" t="str">
        <x:v>April 16, 2026</x:v>
      </x:c>
      <x:c r="H523" s="13" t="str">
        <x:v>-</x:v>
      </x:c>
      <x:c r="I523" s="13" t="str">
        <x:v>Synthetic example: possible imposable fine is above ₱5,000; outside KP threshold.</x:v>
      </x:c>
      <x:c r="J523" s="13" t="str">
        <x:v>Refer</x:v>
      </x:c>
      <x:c r="K523" s="13" t="str">
        <x:v>NON_KP_REFERRAL</x:v>
      </x:c>
      <x:c r="L523" s="13" t="str">
        <x:v>Not KP; fine threshold exceeded</x:v>
      </x:c>
      <x:c r="M523" s="13" t="str">
        <x:v>Refer to court/prosecutor/proper agency</x:v>
      </x:c>
      <x:c r="N523" s="13" t="str">
        <x:v>Potential imposable fine exceeds ₱5,000 KP threshold.</x:v>
      </x:c>
      <x:c r="O523" s="13" t="str">
        <x:v>Statutory fine ₱5,500</x:v>
      </x:c>
      <x:c r="P523" s="13" t="str">
        <x:v>Local ordinance violation na may fine na ₱7,500</x:v>
      </x:c>
      <x:c r="Q523" s="13" t="str">
        <x:v>Added to balance 'fine-over-5000' to 49 examples using the same Justice KP label schema.</x:v>
      </x:c>
      <x:c r="R523" s="13" t="str">
        <x:v>Synthetic row based on category coverage gap from uploaded PDF</x:v>
      </x:c>
    </x:row>
    <x:row r="524" ht="36" customHeight="1">
      <x:c r="A524" s="13" t="str">
        <x:v>SYN-FINE5K-033</x:v>
      </x:c>
      <x:c r="B524" s="13" t="str">
        <x:v>fine-over-5000</x:v>
      </x:c>
      <x:c r="C524" s="13" t="str">
        <x:v>Synthetic</x:v>
      </x:c>
      <x:c r="D524" s="13" t="str"/>
      <x:c r="E524" s="13" t="str">
        <x:v>Disqualified</x:v>
      </x:c>
      <x:c r="F524" s="13" t="str">
        <x:v>Damage complaint with law-indicated fine above ₱5,000</x:v>
      </x:c>
      <x:c r="G524" s="13" t="str">
        <x:v>April 19, 2026</x:v>
      </x:c>
      <x:c r="H524" s="13" t="str">
        <x:v>-</x:v>
      </x:c>
      <x:c r="I524" s="13" t="str">
        <x:v>Synthetic example: possible imposable fine is above ₱5,000; outside KP threshold.</x:v>
      </x:c>
      <x:c r="J524" s="13" t="str">
        <x:v>Refer</x:v>
      </x:c>
      <x:c r="K524" s="13" t="str">
        <x:v>NON_KP_REFERRAL</x:v>
      </x:c>
      <x:c r="L524" s="13" t="str">
        <x:v>Not KP; fine threshold exceeded</x:v>
      </x:c>
      <x:c r="M524" s="13" t="str">
        <x:v>Refer to court/prosecutor/proper agency</x:v>
      </x:c>
      <x:c r="N524" s="13" t="str">
        <x:v>Potential imposable fine exceeds ₱5,000 KP threshold.</x:v>
      </x:c>
      <x:c r="O524" s="13" t="str">
        <x:v>Statutory fine ₱8,000</x:v>
      </x:c>
      <x:c r="P524" s="13" t="str">
        <x:v>Damage complaint with law-indicated fine above ₱5,000</x:v>
      </x:c>
      <x:c r="Q524" s="13" t="str">
        <x:v>Added to balance 'fine-over-5000' to 49 examples using the same Justice KP label schema.</x:v>
      </x:c>
      <x:c r="R524" s="13" t="str">
        <x:v>Synthetic row based on category coverage gap from uploaded PDF</x:v>
      </x:c>
    </x:row>
    <x:row r="525" ht="36" customHeight="1">
      <x:c r="A525" s="13" t="str">
        <x:v>SYN-FINE5K-034</x:v>
      </x:c>
      <x:c r="B525" s="13" t="str">
        <x:v>fine-over-5000</x:v>
      </x:c>
      <x:c r="C525" s="13" t="str">
        <x:v>Synthetic</x:v>
      </x:c>
      <x:c r="D525" s="13" t="str"/>
      <x:c r="E525" s="13" t="str">
        <x:v>Disqualified</x:v>
      </x:c>
      <x:c r="F525" s="13" t="str">
        <x:v>Complaint where imposable fine is ₱10,000 under applicable rule</x:v>
      </x:c>
      <x:c r="G525" s="13" t="str">
        <x:v>April 22, 2026</x:v>
      </x:c>
      <x:c r="H525" s="13" t="str">
        <x:v>-</x:v>
      </x:c>
      <x:c r="I525" s="13" t="str">
        <x:v>Synthetic example: possible imposable fine is above ₱5,000; outside KP threshold.</x:v>
      </x:c>
      <x:c r="J525" s="13" t="str">
        <x:v>Refer</x:v>
      </x:c>
      <x:c r="K525" s="13" t="str">
        <x:v>NON_KP_REFERRAL</x:v>
      </x:c>
      <x:c r="L525" s="13" t="str">
        <x:v>Not KP; fine threshold exceeded</x:v>
      </x:c>
      <x:c r="M525" s="13" t="str">
        <x:v>Refer to court/prosecutor/proper agency</x:v>
      </x:c>
      <x:c r="N525" s="13" t="str">
        <x:v>Potential imposable fine exceeds ₱5,000 KP threshold.</x:v>
      </x:c>
      <x:c r="O525" s="13" t="str">
        <x:v>Statutory fine ₱12,000</x:v>
      </x:c>
      <x:c r="P525" s="13" t="str">
        <x:v>Complaint where imposable fine is ₱10,000 under applicable rule</x:v>
      </x:c>
      <x:c r="Q525" s="13" t="str">
        <x:v>Added to balance 'fine-over-5000' to 49 examples using the same Justice KP label schema.</x:v>
      </x:c>
      <x:c r="R525" s="13" t="str">
        <x:v>Synthetic row based on category coverage gap from uploaded PDF</x:v>
      </x:c>
    </x:row>
    <x:row r="526" ht="36" customHeight="1">
      <x:c r="A526" s="13" t="str">
        <x:v>SYN-FINE5K-035</x:v>
      </x:c>
      <x:c r="B526" s="13" t="str">
        <x:v>fine-over-5000</x:v>
      </x:c>
      <x:c r="C526" s="13" t="str">
        <x:v>Synthetic</x:v>
      </x:c>
      <x:c r="D526" s="13" t="str"/>
      <x:c r="E526" s="13" t="str">
        <x:v>Disqualified</x:v>
      </x:c>
      <x:c r="F526" s="13" t="str">
        <x:v>Violation carrying a fine of ₱5,500 based on cited ordinance</x:v>
      </x:c>
      <x:c r="G526" s="13" t="str">
        <x:v>April 25, 2026</x:v>
      </x:c>
      <x:c r="H526" s="13" t="str">
        <x:v>-</x:v>
      </x:c>
      <x:c r="I526" s="13" t="str">
        <x:v>Synthetic example: possible imposable fine is above ₱5,000; outside KP threshold.</x:v>
      </x:c>
      <x:c r="J526" s="13" t="str">
        <x:v>Refer</x:v>
      </x:c>
      <x:c r="K526" s="13" t="str">
        <x:v>NON_KP_REFERRAL</x:v>
      </x:c>
      <x:c r="L526" s="13" t="str">
        <x:v>Not KP; fine threshold exceeded</x:v>
      </x:c>
      <x:c r="M526" s="13" t="str">
        <x:v>Refer to court/prosecutor/proper agency</x:v>
      </x:c>
      <x:c r="N526" s="13" t="str">
        <x:v>Potential imposable fine exceeds ₱5,000 KP threshold.</x:v>
      </x:c>
      <x:c r="O526" s="13" t="str">
        <x:v>Statutory fine ₱9,000</x:v>
      </x:c>
      <x:c r="P526" s="13" t="str">
        <x:v>Violation carrying a fine of ₱5,500 based on cited ordinance</x:v>
      </x:c>
      <x:c r="Q526" s="13" t="str">
        <x:v>Added to balance 'fine-over-5000' to 49 examples using the same Justice KP label schema.</x:v>
      </x:c>
      <x:c r="R526" s="13" t="str">
        <x:v>Synthetic row based on category coverage gap from uploaded PDF</x:v>
      </x:c>
    </x:row>
    <x:row r="527" ht="36" customHeight="1">
      <x:c r="A527" s="13" t="str">
        <x:v>SYN-FINE5K-036</x:v>
      </x:c>
      <x:c r="B527" s="13" t="str">
        <x:v>fine-over-5000</x:v>
      </x:c>
      <x:c r="C527" s="13" t="str">
        <x:v>Synthetic</x:v>
      </x:c>
      <x:c r="D527" s="13" t="str"/>
      <x:c r="E527" s="13" t="str">
        <x:v>Disqualified</x:v>
      </x:c>
      <x:c r="F527" s="13" t="str">
        <x:v>Regulatory complaint with administrative fine above ₱5,000</x:v>
      </x:c>
      <x:c r="G527" s="13" t="str">
        <x:v>April 28, 2026</x:v>
      </x:c>
      <x:c r="H527" s="13" t="str">
        <x:v>-</x:v>
      </x:c>
      <x:c r="I527" s="13" t="str">
        <x:v>Synthetic example: possible imposable fine is above ₱5,000; outside KP threshold.</x:v>
      </x:c>
      <x:c r="J527" s="13" t="str">
        <x:v>Refer</x:v>
      </x:c>
      <x:c r="K527" s="13" t="str">
        <x:v>NON_KP_REFERRAL</x:v>
      </x:c>
      <x:c r="L527" s="13" t="str">
        <x:v>Not KP; fine threshold exceeded</x:v>
      </x:c>
      <x:c r="M527" s="13" t="str">
        <x:v>Refer to court/prosecutor/proper agency</x:v>
      </x:c>
      <x:c r="N527" s="13" t="str">
        <x:v>Potential imposable fine exceeds ₱5,000 KP threshold.</x:v>
      </x:c>
      <x:c r="O527" s="13" t="str">
        <x:v>Statutory fine ₱6,000</x:v>
      </x:c>
      <x:c r="P527" s="13" t="str">
        <x:v>Regulatory complaint with administrative fine above ₱5,000</x:v>
      </x:c>
      <x:c r="Q527" s="13" t="str">
        <x:v>Added to balance 'fine-over-5000' to 49 examples using the same Justice KP label schema.</x:v>
      </x:c>
      <x:c r="R527" s="13" t="str">
        <x:v>Synthetic row based on category coverage gap from uploaded PDF</x:v>
      </x:c>
    </x:row>
    <x:row r="528" ht="36" customHeight="1">
      <x:c r="A528" s="13" t="str">
        <x:v>SYN-FINE5K-037</x:v>
      </x:c>
      <x:c r="B528" s="13" t="str">
        <x:v>fine-over-5000</x:v>
      </x:c>
      <x:c r="C528" s="13" t="str">
        <x:v>Synthetic</x:v>
      </x:c>
      <x:c r="D528" s="13" t="str"/>
      <x:c r="E528" s="13" t="str">
        <x:v>Disqualified</x:v>
      </x:c>
      <x:c r="F528" s="13" t="str">
        <x:v>Case with possible court-imposed fine of ₱8,000</x:v>
      </x:c>
      <x:c r="G528" s="13" t="str">
        <x:v>May 1, 2026</x:v>
      </x:c>
      <x:c r="H528" s="13" t="str">
        <x:v>-</x:v>
      </x:c>
      <x:c r="I528" s="13" t="str">
        <x:v>Synthetic example: possible imposable fine is above ₱5,000; outside KP threshold.</x:v>
      </x:c>
      <x:c r="J528" s="13" t="str">
        <x:v>Refer</x:v>
      </x:c>
      <x:c r="K528" s="13" t="str">
        <x:v>NON_KP_REFERRAL</x:v>
      </x:c>
      <x:c r="L528" s="13" t="str">
        <x:v>Not KP; fine threshold exceeded</x:v>
      </x:c>
      <x:c r="M528" s="13" t="str">
        <x:v>Refer to court/prosecutor/proper agency</x:v>
      </x:c>
      <x:c r="N528" s="13" t="str">
        <x:v>Potential imposable fine exceeds ₱5,000 KP threshold.</x:v>
      </x:c>
      <x:c r="O528" s="13" t="str">
        <x:v>Statutory fine ₱7,500</x:v>
      </x:c>
      <x:c r="P528" s="13" t="str">
        <x:v>Case with possible court-imposed fine of ₱8,000</x:v>
      </x:c>
      <x:c r="Q528" s="13" t="str">
        <x:v>Added to balance 'fine-over-5000' to 49 examples using the same Justice KP label schema.</x:v>
      </x:c>
      <x:c r="R528" s="13" t="str">
        <x:v>Synthetic row based on category coverage gap from uploaded PDF</x:v>
      </x:c>
    </x:row>
    <x:row r="529" ht="36" customHeight="1">
      <x:c r="A529" s="13" t="str">
        <x:v>SYN-FINE5K-038</x:v>
      </x:c>
      <x:c r="B529" s="13" t="str">
        <x:v>fine-over-5000</x:v>
      </x:c>
      <x:c r="C529" s="13" t="str">
        <x:v>Synthetic</x:v>
      </x:c>
      <x:c r="D529" s="13" t="str"/>
      <x:c r="E529" s="13" t="str">
        <x:v>Disqualified</x:v>
      </x:c>
      <x:c r="F529" s="13" t="str">
        <x:v>Complaint tagged because maximum fine exceeds ₱5,000</x:v>
      </x:c>
      <x:c r="G529" s="13" t="str">
        <x:v>May 4, 2026</x:v>
      </x:c>
      <x:c r="H529" s="13" t="str">
        <x:v>-</x:v>
      </x:c>
      <x:c r="I529" s="13" t="str">
        <x:v>Synthetic example: possible imposable fine is above ₱5,000; outside KP threshold.</x:v>
      </x:c>
      <x:c r="J529" s="13" t="str">
        <x:v>Refer</x:v>
      </x:c>
      <x:c r="K529" s="13" t="str">
        <x:v>NON_KP_REFERRAL</x:v>
      </x:c>
      <x:c r="L529" s="13" t="str">
        <x:v>Not KP; fine threshold exceeded</x:v>
      </x:c>
      <x:c r="M529" s="13" t="str">
        <x:v>Refer to court/prosecutor/proper agency</x:v>
      </x:c>
      <x:c r="N529" s="13" t="str">
        <x:v>Potential imposable fine exceeds ₱5,000 KP threshold.</x:v>
      </x:c>
      <x:c r="O529" s="13" t="str">
        <x:v>Statutory fine ₱10,000</x:v>
      </x:c>
      <x:c r="P529" s="13" t="str">
        <x:v>Complaint tagged because maximum fine exceeds ₱5,000</x:v>
      </x:c>
      <x:c r="Q529" s="13" t="str">
        <x:v>Added to balance 'fine-over-5000' to 49 examples using the same Justice KP label schema.</x:v>
      </x:c>
      <x:c r="R529" s="13" t="str">
        <x:v>Synthetic row based on category coverage gap from uploaded PDF</x:v>
      </x:c>
    </x:row>
    <x:row r="530" ht="36" customHeight="1">
      <x:c r="A530" s="13" t="str">
        <x:v>SYN-FINE5K-039</x:v>
      </x:c>
      <x:c r="B530" s="13" t="str">
        <x:v>fine-over-5000</x:v>
      </x:c>
      <x:c r="C530" s="13" t="str">
        <x:v>Synthetic</x:v>
      </x:c>
      <x:c r="D530" s="13" t="str"/>
      <x:c r="E530" s="13" t="str">
        <x:v>Disqualified</x:v>
      </x:c>
      <x:c r="F530" s="13" t="str">
        <x:v>Offense record showing fine range ₱6,000 to ₱12,000</x:v>
      </x:c>
      <x:c r="G530" s="13" t="str">
        <x:v>May 7, 2026</x:v>
      </x:c>
      <x:c r="H530" s="13" t="str">
        <x:v>-</x:v>
      </x:c>
      <x:c r="I530" s="13" t="str">
        <x:v>Synthetic example: possible imposable fine is above ₱5,000; outside KP threshold.</x:v>
      </x:c>
      <x:c r="J530" s="13" t="str">
        <x:v>Refer</x:v>
      </x:c>
      <x:c r="K530" s="13" t="str">
        <x:v>NON_KP_REFERRAL</x:v>
      </x:c>
      <x:c r="L530" s="13" t="str">
        <x:v>Not KP; fine threshold exceeded</x:v>
      </x:c>
      <x:c r="M530" s="13" t="str">
        <x:v>Refer to court/prosecutor/proper agency</x:v>
      </x:c>
      <x:c r="N530" s="13" t="str">
        <x:v>Potential imposable fine exceeds ₱5,000 KP threshold.</x:v>
      </x:c>
      <x:c r="O530" s="13" t="str">
        <x:v>Statutory fine ₱5,500</x:v>
      </x:c>
      <x:c r="P530" s="13" t="str">
        <x:v>Offense record showing fine range ₱6,000 to ₱12,000</x:v>
      </x:c>
      <x:c r="Q530" s="13" t="str">
        <x:v>Added to balance 'fine-over-5000' to 49 examples using the same Justice KP label schema.</x:v>
      </x:c>
      <x:c r="R530" s="13" t="str">
        <x:v>Synthetic row based on category coverage gap from uploaded PDF</x:v>
      </x:c>
    </x:row>
    <x:row r="531" ht="36" customHeight="1">
      <x:c r="A531" s="13" t="str">
        <x:v>SYN-FINE5K-040</x:v>
      </x:c>
      <x:c r="B531" s="13" t="str">
        <x:v>fine-over-5000</x:v>
      </x:c>
      <x:c r="C531" s="13" t="str">
        <x:v>Synthetic</x:v>
      </x:c>
      <x:c r="D531" s="13" t="str"/>
      <x:c r="E531" s="13" t="str">
        <x:v>Disqualified</x:v>
      </x:c>
      <x:c r="F531" s="13" t="str">
        <x:v>Complaint where statutory fine threshold is above barangay limit</x:v>
      </x:c>
      <x:c r="G531" s="13" t="str">
        <x:v>May 10, 2026</x:v>
      </x:c>
      <x:c r="H531" s="13" t="str">
        <x:v>-</x:v>
      </x:c>
      <x:c r="I531" s="13" t="str">
        <x:v>Synthetic example: possible imposable fine is above ₱5,000; outside KP threshold.</x:v>
      </x:c>
      <x:c r="J531" s="13" t="str">
        <x:v>Refer</x:v>
      </x:c>
      <x:c r="K531" s="13" t="str">
        <x:v>NON_KP_REFERRAL</x:v>
      </x:c>
      <x:c r="L531" s="13" t="str">
        <x:v>Not KP; fine threshold exceeded</x:v>
      </x:c>
      <x:c r="M531" s="13" t="str">
        <x:v>Refer to court/prosecutor/proper agency</x:v>
      </x:c>
      <x:c r="N531" s="13" t="str">
        <x:v>Potential imposable fine exceeds ₱5,000 KP threshold.</x:v>
      </x:c>
      <x:c r="O531" s="13" t="str">
        <x:v>Statutory fine ₱8,000</x:v>
      </x:c>
      <x:c r="P531" s="13" t="str">
        <x:v>Complaint where statutory fine threshold is above barangay limit</x:v>
      </x:c>
      <x:c r="Q531" s="13" t="str">
        <x:v>Added to balance 'fine-over-5000' to 49 examples using the same Justice KP label schema.</x:v>
      </x:c>
      <x:c r="R531" s="13" t="str">
        <x:v>Synthetic row based on category coverage gap from uploaded PDF</x:v>
      </x:c>
    </x:row>
    <x:row r="532" ht="36" customHeight="1">
      <x:c r="A532" s="13" t="str">
        <x:v>SYN-FINE5K-041</x:v>
      </x:c>
      <x:c r="B532" s="13" t="str">
        <x:v>fine-over-5000</x:v>
      </x:c>
      <x:c r="C532" s="13" t="str">
        <x:v>Synthetic</x:v>
      </x:c>
      <x:c r="D532" s="13" t="str"/>
      <x:c r="E532" s="13" t="str">
        <x:v>Disqualified</x:v>
      </x:c>
      <x:c r="F532" s="13" t="str">
        <x:v>Reklamo sa offense na may statutory fine na ₱6,000</x:v>
      </x:c>
      <x:c r="G532" s="13" t="str">
        <x:v>May 13, 2026</x:v>
      </x:c>
      <x:c r="H532" s="13" t="str">
        <x:v>-</x:v>
      </x:c>
      <x:c r="I532" s="13" t="str">
        <x:v>Synthetic example: possible imposable fine is above ₱5,000; outside KP threshold.</x:v>
      </x:c>
      <x:c r="J532" s="13" t="str">
        <x:v>Refer</x:v>
      </x:c>
      <x:c r="K532" s="13" t="str">
        <x:v>NON_KP_REFERRAL</x:v>
      </x:c>
      <x:c r="L532" s="13" t="str">
        <x:v>Not KP; fine threshold exceeded</x:v>
      </x:c>
      <x:c r="M532" s="13" t="str">
        <x:v>Refer to court/prosecutor/proper agency</x:v>
      </x:c>
      <x:c r="N532" s="13" t="str">
        <x:v>Potential imposable fine exceeds ₱5,000 KP threshold.</x:v>
      </x:c>
      <x:c r="O532" s="13" t="str">
        <x:v>Statutory fine ₱12,000</x:v>
      </x:c>
      <x:c r="P532" s="13" t="str">
        <x:v>Reklamo sa offense na may statutory fine na ₱6,000</x:v>
      </x:c>
      <x:c r="Q532" s="13" t="str">
        <x:v>Added to balance 'fine-over-5000' to 49 examples using the same Justice KP label schema.</x:v>
      </x:c>
      <x:c r="R532" s="13" t="str">
        <x:v>Synthetic row based on category coverage gap from uploaded PDF</x:v>
      </x:c>
    </x:row>
    <x:row r="533" ht="36" customHeight="1">
      <x:c r="A533" s="13" t="str">
        <x:v>SYN-FINE5K-042</x:v>
      </x:c>
      <x:c r="B533" s="13" t="str">
        <x:v>fine-over-5000</x:v>
      </x:c>
      <x:c r="C533" s="13" t="str">
        <x:v>Synthetic</x:v>
      </x:c>
      <x:c r="D533" s="13" t="str"/>
      <x:c r="E533" s="13" t="str">
        <x:v>Disqualified</x:v>
      </x:c>
      <x:c r="F533" s="13" t="str">
        <x:v>Local ordinance violation na may fine na ₱7,500</x:v>
      </x:c>
      <x:c r="G533" s="13" t="str">
        <x:v>May 16, 2026</x:v>
      </x:c>
      <x:c r="H533" s="13" t="str">
        <x:v>-</x:v>
      </x:c>
      <x:c r="I533" s="13" t="str">
        <x:v>Synthetic example: possible imposable fine is above ₱5,000; outside KP threshold.</x:v>
      </x:c>
      <x:c r="J533" s="13" t="str">
        <x:v>Refer</x:v>
      </x:c>
      <x:c r="K533" s="13" t="str">
        <x:v>NON_KP_REFERRAL</x:v>
      </x:c>
      <x:c r="L533" s="13" t="str">
        <x:v>Not KP; fine threshold exceeded</x:v>
      </x:c>
      <x:c r="M533" s="13" t="str">
        <x:v>Refer to court/prosecutor/proper agency</x:v>
      </x:c>
      <x:c r="N533" s="13" t="str">
        <x:v>Potential imposable fine exceeds ₱5,000 KP threshold.</x:v>
      </x:c>
      <x:c r="O533" s="13" t="str">
        <x:v>Statutory fine ₱9,000</x:v>
      </x:c>
      <x:c r="P533" s="13" t="str">
        <x:v>Local ordinance violation na may fine na ₱7,500</x:v>
      </x:c>
      <x:c r="Q533" s="13" t="str">
        <x:v>Added to balance 'fine-over-5000' to 49 examples using the same Justice KP label schema.</x:v>
      </x:c>
      <x:c r="R533" s="13" t="str">
        <x:v>Synthetic row based on category coverage gap from uploaded PDF</x:v>
      </x:c>
    </x:row>
    <x:row r="534" ht="36" customHeight="1">
      <x:c r="A534" s="13" t="str">
        <x:v>SYN-FINE5K-043</x:v>
      </x:c>
      <x:c r="B534" s="13" t="str">
        <x:v>fine-over-5000</x:v>
      </x:c>
      <x:c r="C534" s="13" t="str">
        <x:v>Synthetic</x:v>
      </x:c>
      <x:c r="D534" s="13" t="str"/>
      <x:c r="E534" s="13" t="str">
        <x:v>Disqualified</x:v>
      </x:c>
      <x:c r="F534" s="13" t="str">
        <x:v>Damage complaint with law-indicated fine above ₱5,000</x:v>
      </x:c>
      <x:c r="G534" s="13" t="str">
        <x:v>May 19, 2026</x:v>
      </x:c>
      <x:c r="H534" s="13" t="str">
        <x:v>-</x:v>
      </x:c>
      <x:c r="I534" s="13" t="str">
        <x:v>Synthetic example: possible imposable fine is above ₱5,000; outside KP threshold.</x:v>
      </x:c>
      <x:c r="J534" s="13" t="str">
        <x:v>Refer</x:v>
      </x:c>
      <x:c r="K534" s="13" t="str">
        <x:v>NON_KP_REFERRAL</x:v>
      </x:c>
      <x:c r="L534" s="13" t="str">
        <x:v>Not KP; fine threshold exceeded</x:v>
      </x:c>
      <x:c r="M534" s="13" t="str">
        <x:v>Refer to court/prosecutor/proper agency</x:v>
      </x:c>
      <x:c r="N534" s="13" t="str">
        <x:v>Potential imposable fine exceeds ₱5,000 KP threshold.</x:v>
      </x:c>
      <x:c r="O534" s="13" t="str">
        <x:v>Statutory fine ₱6,000</x:v>
      </x:c>
      <x:c r="P534" s="13" t="str">
        <x:v>Damage complaint with law-indicated fine above ₱5,000</x:v>
      </x:c>
      <x:c r="Q534" s="13" t="str">
        <x:v>Added to balance 'fine-over-5000' to 49 examples using the same Justice KP label schema.</x:v>
      </x:c>
      <x:c r="R534" s="13" t="str">
        <x:v>Synthetic row based on category coverage gap from uploaded PDF</x:v>
      </x:c>
    </x:row>
    <x:row r="535" ht="36" customHeight="1">
      <x:c r="A535" s="13" t="str">
        <x:v>SYN-FINE5K-044</x:v>
      </x:c>
      <x:c r="B535" s="13" t="str">
        <x:v>fine-over-5000</x:v>
      </x:c>
      <x:c r="C535" s="13" t="str">
        <x:v>Synthetic</x:v>
      </x:c>
      <x:c r="D535" s="13" t="str"/>
      <x:c r="E535" s="13" t="str">
        <x:v>Disqualified</x:v>
      </x:c>
      <x:c r="F535" s="13" t="str">
        <x:v>Complaint where imposable fine is ₱10,000 under applicable rule</x:v>
      </x:c>
      <x:c r="G535" s="13" t="str">
        <x:v>May 22, 2026</x:v>
      </x:c>
      <x:c r="H535" s="13" t="str">
        <x:v>-</x:v>
      </x:c>
      <x:c r="I535" s="13" t="str">
        <x:v>Synthetic example: possible imposable fine is above ₱5,000; outside KP threshold.</x:v>
      </x:c>
      <x:c r="J535" s="13" t="str">
        <x:v>Refer</x:v>
      </x:c>
      <x:c r="K535" s="13" t="str">
        <x:v>NON_KP_REFERRAL</x:v>
      </x:c>
      <x:c r="L535" s="13" t="str">
        <x:v>Not KP; fine threshold exceeded</x:v>
      </x:c>
      <x:c r="M535" s="13" t="str">
        <x:v>Refer to court/prosecutor/proper agency</x:v>
      </x:c>
      <x:c r="N535" s="13" t="str">
        <x:v>Potential imposable fine exceeds ₱5,000 KP threshold.</x:v>
      </x:c>
      <x:c r="O535" s="13" t="str">
        <x:v>Statutory fine ₱7,500</x:v>
      </x:c>
      <x:c r="P535" s="13" t="str">
        <x:v>Complaint where imposable fine is ₱10,000 under applicable rule</x:v>
      </x:c>
      <x:c r="Q535" s="13" t="str">
        <x:v>Added to balance 'fine-over-5000' to 49 examples using the same Justice KP label schema.</x:v>
      </x:c>
      <x:c r="R535" s="13" t="str">
        <x:v>Synthetic row based on category coverage gap from uploaded PDF</x:v>
      </x:c>
    </x:row>
    <x:row r="536" ht="36" customHeight="1">
      <x:c r="A536" s="13" t="str">
        <x:v>SYN-FINE5K-045</x:v>
      </x:c>
      <x:c r="B536" s="13" t="str">
        <x:v>fine-over-5000</x:v>
      </x:c>
      <x:c r="C536" s="13" t="str">
        <x:v>Synthetic</x:v>
      </x:c>
      <x:c r="D536" s="13" t="str"/>
      <x:c r="E536" s="13" t="str">
        <x:v>Disqualified</x:v>
      </x:c>
      <x:c r="F536" s="13" t="str">
        <x:v>Violation carrying a fine of ₱5,500 based on cited ordinance</x:v>
      </x:c>
      <x:c r="G536" s="13" t="str">
        <x:v>May 25, 2026</x:v>
      </x:c>
      <x:c r="H536" s="13" t="str">
        <x:v>-</x:v>
      </x:c>
      <x:c r="I536" s="13" t="str">
        <x:v>Synthetic example: possible imposable fine is above ₱5,000; outside KP threshold.</x:v>
      </x:c>
      <x:c r="J536" s="13" t="str">
        <x:v>Refer</x:v>
      </x:c>
      <x:c r="K536" s="13" t="str">
        <x:v>NON_KP_REFERRAL</x:v>
      </x:c>
      <x:c r="L536" s="13" t="str">
        <x:v>Not KP; fine threshold exceeded</x:v>
      </x:c>
      <x:c r="M536" s="13" t="str">
        <x:v>Refer to court/prosecutor/proper agency</x:v>
      </x:c>
      <x:c r="N536" s="13" t="str">
        <x:v>Potential imposable fine exceeds ₱5,000 KP threshold.</x:v>
      </x:c>
      <x:c r="O536" s="13" t="str">
        <x:v>Statutory fine ₱10,000</x:v>
      </x:c>
      <x:c r="P536" s="13" t="str">
        <x:v>Violation carrying a fine of ₱5,500 based on cited ordinance</x:v>
      </x:c>
      <x:c r="Q536" s="13" t="str">
        <x:v>Added to balance 'fine-over-5000' to 49 examples using the same Justice KP label schema.</x:v>
      </x:c>
      <x:c r="R536" s="13" t="str">
        <x:v>Synthetic row based on category coverage gap from uploaded PDF</x:v>
      </x:c>
    </x:row>
    <x:row r="537" ht="36" customHeight="1">
      <x:c r="A537" s="13" t="str">
        <x:v>SYN-FINE5K-046</x:v>
      </x:c>
      <x:c r="B537" s="13" t="str">
        <x:v>fine-over-5000</x:v>
      </x:c>
      <x:c r="C537" s="13" t="str">
        <x:v>Synthetic</x:v>
      </x:c>
      <x:c r="D537" s="13" t="str"/>
      <x:c r="E537" s="13" t="str">
        <x:v>Disqualified</x:v>
      </x:c>
      <x:c r="F537" s="13" t="str">
        <x:v>Regulatory complaint with administrative fine above ₱5,000</x:v>
      </x:c>
      <x:c r="G537" s="13" t="str">
        <x:v>May 28, 2026</x:v>
      </x:c>
      <x:c r="H537" s="13" t="str">
        <x:v>-</x:v>
      </x:c>
      <x:c r="I537" s="13" t="str">
        <x:v>Synthetic example: possible imposable fine is above ₱5,000; outside KP threshold.</x:v>
      </x:c>
      <x:c r="J537" s="13" t="str">
        <x:v>Refer</x:v>
      </x:c>
      <x:c r="K537" s="13" t="str">
        <x:v>NON_KP_REFERRAL</x:v>
      </x:c>
      <x:c r="L537" s="13" t="str">
        <x:v>Not KP; fine threshold exceeded</x:v>
      </x:c>
      <x:c r="M537" s="13" t="str">
        <x:v>Refer to court/prosecutor/proper agency</x:v>
      </x:c>
      <x:c r="N537" s="13" t="str">
        <x:v>Potential imposable fine exceeds ₱5,000 KP threshold.</x:v>
      </x:c>
      <x:c r="O537" s="13" t="str">
        <x:v>Statutory fine ₱5,500</x:v>
      </x:c>
      <x:c r="P537" s="13" t="str">
        <x:v>Regulatory complaint with administrative fine above ₱5,000</x:v>
      </x:c>
      <x:c r="Q537" s="13" t="str">
        <x:v>Added to balance 'fine-over-5000' to 49 examples using the same Justice KP label schema.</x:v>
      </x:c>
      <x:c r="R537" s="13" t="str">
        <x:v>Synthetic row based on category coverage gap from uploaded PDF</x:v>
      </x:c>
    </x:row>
    <x:row r="538" ht="36" customHeight="1">
      <x:c r="A538" s="13" t="str">
        <x:v>SYN-FINE5K-047</x:v>
      </x:c>
      <x:c r="B538" s="13" t="str">
        <x:v>fine-over-5000</x:v>
      </x:c>
      <x:c r="C538" s="13" t="str">
        <x:v>Synthetic</x:v>
      </x:c>
      <x:c r="D538" s="13" t="str"/>
      <x:c r="E538" s="13" t="str">
        <x:v>Disqualified</x:v>
      </x:c>
      <x:c r="F538" s="13" t="str">
        <x:v>Case with possible court-imposed fine of ₱8,000</x:v>
      </x:c>
      <x:c r="G538" s="13" t="str">
        <x:v>May 31, 2026</x:v>
      </x:c>
      <x:c r="H538" s="13" t="str">
        <x:v>-</x:v>
      </x:c>
      <x:c r="I538" s="13" t="str">
        <x:v>Synthetic example: possible imposable fine is above ₱5,000; outside KP threshold.</x:v>
      </x:c>
      <x:c r="J538" s="13" t="str">
        <x:v>Refer</x:v>
      </x:c>
      <x:c r="K538" s="13" t="str">
        <x:v>NON_KP_REFERRAL</x:v>
      </x:c>
      <x:c r="L538" s="13" t="str">
        <x:v>Not KP; fine threshold exceeded</x:v>
      </x:c>
      <x:c r="M538" s="13" t="str">
        <x:v>Refer to court/prosecutor/proper agency</x:v>
      </x:c>
      <x:c r="N538" s="13" t="str">
        <x:v>Potential imposable fine exceeds ₱5,000 KP threshold.</x:v>
      </x:c>
      <x:c r="O538" s="13" t="str">
        <x:v>Statutory fine ₱8,000</x:v>
      </x:c>
      <x:c r="P538" s="13" t="str">
        <x:v>Case with possible court-imposed fine of ₱8,000</x:v>
      </x:c>
      <x:c r="Q538" s="13" t="str">
        <x:v>Added to balance 'fine-over-5000' to 49 examples using the same Justice KP label schema.</x:v>
      </x:c>
      <x:c r="R538" s="13" t="str">
        <x:v>Synthetic row based on category coverage gap from uploaded PDF</x:v>
      </x:c>
    </x:row>
    <x:row r="539" ht="36" customHeight="1">
      <x:c r="A539" s="13" t="str">
        <x:v>SYN-FINE5K-048</x:v>
      </x:c>
      <x:c r="B539" s="13" t="str">
        <x:v>fine-over-5000</x:v>
      </x:c>
      <x:c r="C539" s="13" t="str">
        <x:v>Synthetic</x:v>
      </x:c>
      <x:c r="D539" s="13" t="str"/>
      <x:c r="E539" s="13" t="str">
        <x:v>Disqualified</x:v>
      </x:c>
      <x:c r="F539" s="13" t="str">
        <x:v>Complaint tagged because maximum fine exceeds ₱5,000</x:v>
      </x:c>
      <x:c r="G539" s="13" t="str">
        <x:v>June 3, 2026</x:v>
      </x:c>
      <x:c r="H539" s="13" t="str">
        <x:v>-</x:v>
      </x:c>
      <x:c r="I539" s="13" t="str">
        <x:v>Synthetic example: possible imposable fine is above ₱5,000; outside KP threshold.</x:v>
      </x:c>
      <x:c r="J539" s="13" t="str">
        <x:v>Refer</x:v>
      </x:c>
      <x:c r="K539" s="13" t="str">
        <x:v>NON_KP_REFERRAL</x:v>
      </x:c>
      <x:c r="L539" s="13" t="str">
        <x:v>Not KP; fine threshold exceeded</x:v>
      </x:c>
      <x:c r="M539" s="13" t="str">
        <x:v>Refer to court/prosecutor/proper agency</x:v>
      </x:c>
      <x:c r="N539" s="13" t="str">
        <x:v>Potential imposable fine exceeds ₱5,000 KP threshold.</x:v>
      </x:c>
      <x:c r="O539" s="13" t="str">
        <x:v>Statutory fine ₱12,000</x:v>
      </x:c>
      <x:c r="P539" s="13" t="str">
        <x:v>Complaint tagged because maximum fine exceeds ₱5,000</x:v>
      </x:c>
      <x:c r="Q539" s="13" t="str">
        <x:v>Added to balance 'fine-over-5000' to 49 examples using the same Justice KP label schema.</x:v>
      </x:c>
      <x:c r="R539" s="13" t="str">
        <x:v>Synthetic row based on category coverage gap from uploaded PDF</x:v>
      </x:c>
    </x:row>
    <x:row r="540" ht="36" customHeight="1">
      <x:c r="A540" s="13" t="str">
        <x:v>SYN-FINE5K-049</x:v>
      </x:c>
      <x:c r="B540" s="13" t="str">
        <x:v>fine-over-5000</x:v>
      </x:c>
      <x:c r="C540" s="13" t="str">
        <x:v>Synthetic</x:v>
      </x:c>
      <x:c r="D540" s="13" t="str"/>
      <x:c r="E540" s="13" t="str">
        <x:v>Disqualified</x:v>
      </x:c>
      <x:c r="F540" s="13" t="str">
        <x:v>Offense record showing fine range ₱6,000 to ₱12,000</x:v>
      </x:c>
      <x:c r="G540" s="13" t="str">
        <x:v>June 6, 2026</x:v>
      </x:c>
      <x:c r="H540" s="13" t="str">
        <x:v>-</x:v>
      </x:c>
      <x:c r="I540" s="13" t="str">
        <x:v>Synthetic example: possible imposable fine is above ₱5,000; outside KP threshold.</x:v>
      </x:c>
      <x:c r="J540" s="13" t="str">
        <x:v>Refer</x:v>
      </x:c>
      <x:c r="K540" s="13" t="str">
        <x:v>NON_KP_REFERRAL</x:v>
      </x:c>
      <x:c r="L540" s="13" t="str">
        <x:v>Not KP; fine threshold exceeded</x:v>
      </x:c>
      <x:c r="M540" s="13" t="str">
        <x:v>Refer to court/prosecutor/proper agency</x:v>
      </x:c>
      <x:c r="N540" s="13" t="str">
        <x:v>Potential imposable fine exceeds ₱5,000 KP threshold.</x:v>
      </x:c>
      <x:c r="O540" s="13" t="str">
        <x:v>Statutory fine ₱9,000</x:v>
      </x:c>
      <x:c r="P540" s="13" t="str">
        <x:v>Offense record showing fine range ₱6,000 to ₱12,000</x:v>
      </x:c>
      <x:c r="Q540" s="13" t="str">
        <x:v>Added to balance 'fine-over-5000' to 49 examples using the same Justice KP label schema.</x:v>
      </x:c>
      <x:c r="R540" s="13" t="str">
        <x:v>Synthetic row based on category coverage gap from uploaded PDF</x:v>
      </x:c>
    </x:row>
  </x:sheetData>
  <x:conditionalFormatting sqref="C2:C540">
    <x:cfRule type="expression" dxfId="0" priority="1">
      <x:formula>C2="Synthetic"</x:formula>
    </x:cfRule>
    <x:cfRule type="expression" dxfId="1" priority="2">
      <x:formula>C2="Real PDF"</x:formula>
    </x:cfRule>
  </x:conditionalFormatting>
  <x:dataValidations count="3">
    <x:dataValidation type="list" sqref="B2:B540">
      <x:formula1>"debt,boundary/property,nuisance,physical injury,threats,VAWC/child abuse,outside-KP,government-party,already-filed-in-court,penalty-over-1-year,fine-over-5000"</x:formula1>
    </x:dataValidation>
    <x:dataValidation type="list" sqref="C2:C540">
      <x:formula1>"Real PDF,Synthetic"</x:formula1>
    </x:dataValidation>
    <x:dataValidation type="list" sqref="K2:K540">
      <x:formula1>"KP_COVERED_AMICABLE,REFER_VAWC_CHILD_PROTECTION,NON_KP_REFERRAL,NON_KP_REVIEW"</x:formula1>
    </x:dataValidation>
  </x:dataValidations>
  <x:pageMargins left="0.7" right="0.7" top="0.75" bottom="0.75" header="0.3" footer="0.3"/>
  <x:tableParts count="1">
    <x:tablePart xmlns:r="http://schemas.openxmlformats.org/officeDocument/2006/relationships" r:id="R27b53e7ffe6e4e6d"/>
  </x:tableParts>
</x:worksheet>
</file>

<file path=xl/worksheets/sheet3.xml><?xml version="1.0" encoding="utf-8"?>
<x:worksheet xmlns:x="http://schemas.openxmlformats.org/spreadsheetml/2006/main">
  <x:sheetFormatPr defaultRowHeight="15"/>
  <x:cols>
    <x:col min="1" max="1" width="18" hidden="0" customWidth="1"/>
    <x:col min="2" max="2" width="22" hidden="0" customWidth="1"/>
    <x:col min="3" max="3" width="13" hidden="0" customWidth="1"/>
    <x:col min="4" max="4" width="18" hidden="0" customWidth="1"/>
    <x:col min="5" max="5" width="18" hidden="0" customWidth="1"/>
    <x:col min="6" max="6" width="36" hidden="0" customWidth="1"/>
    <x:col min="7" max="7" width="17" hidden="0" customWidth="1"/>
    <x:col min="8" max="8" width="22" hidden="0" customWidth="1"/>
    <x:col min="9" max="9" width="52" hidden="0" customWidth="1"/>
    <x:col min="10" max="10" width="15" hidden="0" customWidth="1"/>
    <x:col min="11" max="11" width="24" hidden="0" customWidth="1"/>
    <x:col min="12" max="12" width="32" hidden="0" customWidth="1"/>
    <x:col min="13" max="13" width="42" hidden="0" customWidth="1"/>
    <x:col min="14" max="14" width="45" hidden="0" customWidth="1"/>
    <x:col min="15" max="15" width="20" hidden="0" customWidth="1"/>
    <x:col min="16" max="16" width="36" hidden="0" customWidth="1"/>
    <x:col min="17" max="17" width="48" hidden="0" customWidth="1"/>
    <x:col min="18" max="18" width="35" hidden="0" customWidth="1"/>
  </x:cols>
  <x:sheetData>
    <x:row r="1" ht="42" customHeight="1">
      <x:c r="A1" s="6" t="str">
        <x:v>case_id</x:v>
      </x:c>
      <x:c r="B1" s="6" t="str">
        <x:v>case_type</x:v>
      </x:c>
      <x:c r="C1" s="6" t="str">
        <x:v>source_type</x:v>
      </x:c>
      <x:c r="D1" s="6" t="str">
        <x:v>source_pdf_case_id</x:v>
      </x:c>
      <x:c r="E1" s="6" t="str">
        <x:v>original_dispute_category</x:v>
      </x:c>
      <x:c r="F1" s="6" t="str">
        <x:v>original_nature</x:v>
      </x:c>
      <x:c r="G1" s="6" t="str">
        <x:v>date_filed</x:v>
      </x:c>
      <x:c r="H1" s="6" t="str">
        <x:v>date_of_settlement_or_award</x:v>
      </x:c>
      <x:c r="I1" s="6" t="str">
        <x:v>conversation_status</x:v>
      </x:c>
      <x:c r="J1" s="6" t="str">
        <x:v>action_taken</x:v>
      </x:c>
      <x:c r="K1" s="6" t="str">
        <x:v>justice_kp_label</x:v>
      </x:c>
      <x:c r="L1" s="6" t="str">
        <x:v>kp_eligibility</x:v>
      </x:c>
      <x:c r="M1" s="6" t="str">
        <x:v>recommended_system_action</x:v>
      </x:c>
      <x:c r="N1" s="6" t="str">
        <x:v>label_reason</x:v>
      </x:c>
      <x:c r="O1" s="6" t="str">
        <x:v>amount_or_penalty_reference</x:v>
      </x:c>
      <x:c r="P1" s="6" t="str">
        <x:v>evidence_of_type</x:v>
      </x:c>
      <x:c r="Q1" s="6" t="str">
        <x:v>synthetic_generation_note</x:v>
      </x:c>
      <x:c r="R1" s="6" t="str">
        <x:v>source_file</x:v>
      </x:c>
    </x:row>
    <x:row r="2" ht="36" customHeight="1">
      <x:c r="A2" s="13" t="str">
        <x:v>KP-25-001-PSWT</x:v>
      </x:c>
      <x:c r="B2" s="13" t="str">
        <x:v>physical injury</x:v>
      </x:c>
      <x:c r="C2" s="13" t="str">
        <x:v>Real PDF</x:v>
      </x:c>
      <x:c r="D2" s="13" t="str">
        <x:v>KP-25-001-PSWT</x:v>
      </x:c>
      <x:c r="E2" s="13" t="str">
        <x:v>Criminal</x:v>
      </x:c>
      <x:c r="F2" s="13" t="str">
        <x:v>Pambubugbog ng kasamahan sa capitol compound</x:v>
      </x:c>
      <x:c r="G2" s="13" t="str">
        <x:v>January 2, 2025</x:v>
      </x:c>
      <x:c r="H2" s="13" t="str">
        <x:v>January 30, 2025</x:v>
      </x:c>
      <x:c r="I2" s="13" t="str">
        <x:v>Nagkaroon ng pagkakasundo na ibibigay ang halagang P20,000 ng ipinagsumbong sa maysumbong</x:v>
      </x:c>
      <x:c r="J2" s="13" t="str">
        <x:v>Settled</x:v>
      </x:c>
      <x:c r="K2" s="13" t="str">
        <x:v>KP_COVERED_AMICABLE</x:v>
      </x:c>
      <x:c r="L2" s="13" t="str">
        <x:v>Eligible for KP screening</x:v>
      </x:c>
      <x:c r="M2" s="13" t="str">
        <x:v>Proceed to barangay conciliation / mediation screening</x:v>
      </x:c>
      <x:c r="N2" s="13" t="str">
        <x:v>Minor physical injury or altercation example; system should still screen severity, weapons, and medical findings.</x:v>
      </x:c>
      <x:c r="O2" s="13" t="str">
        <x:v>P20,000</x:v>
      </x:c>
      <x:c r="P2" s="13" t="str">
        <x:v>Pambubugbog ng kasamahan sa capitol compound</x:v>
      </x:c>
      <x:c r="Q2" s="13" t="str"/>
      <x:c r="R2" s="13" t="str">
        <x:v>KP CASE PSWT - Sheet1 - KP CASE PSWT - Sheet1.pdf</x:v>
      </x:c>
    </x:row>
    <x:row r="3" ht="36" customHeight="1">
      <x:c r="A3" s="13" t="str">
        <x:v>KP-25-002-PSWT</x:v>
      </x:c>
      <x:c r="B3" s="13" t="str">
        <x:v>nuisance</x:v>
      </x:c>
      <x:c r="C3" s="13" t="str">
        <x:v>Real PDF</x:v>
      </x:c>
      <x:c r="D3" s="13" t="str">
        <x:v>KP-25-002-PSWT</x:v>
      </x:c>
      <x:c r="E3" s="13" t="str">
        <x:v>Civil</x:v>
      </x:c>
      <x:c r="F3" s="13" t="str">
        <x:v>Paglilinaw sa maingay na gawaan ng hollowblocks</x:v>
      </x:c>
      <x:c r="G3" s="13" t="str">
        <x:v>January 3, 2025</x:v>
      </x:c>
      <x:c r="H3" s="13" t="str">
        <x:v>June 15, 2025</x:v>
      </x:c>
      <x:c r="I3" s="13" t="str">
        <x:v>Nagkaroon ng pagkakasundo na aalisin ng ipinagsumbong ang makina ng hollowblocks sa loob ng isang taon at kalahati (December, 2026) at ang kanilang lugar ay maging stock files at sales area</x:v>
      </x:c>
      <x:c r="J3" s="13" t="str">
        <x:v>Settled</x:v>
      </x:c>
      <x:c r="K3" s="13" t="str">
        <x:v>KP_COVERED_AMICABLE</x:v>
      </x:c>
      <x:c r="L3" s="13" t="str">
        <x:v>Eligible for KP screening</x:v>
      </x:c>
      <x:c r="M3" s="13" t="str">
        <x:v>Proceed to barangay conciliation / mediation screening</x:v>
      </x:c>
      <x:c r="N3" s="13" t="str">
        <x:v>Neighbor nuisance issue suitable for barangay mediation if no disqualifying facts are present.</x:v>
      </x:c>
      <x:c r="O3" s="13" t="str"/>
      <x:c r="P3" s="13" t="str">
        <x:v>Paglilinaw sa maingay na gawaan ng hollowblocks</x:v>
      </x:c>
      <x:c r="Q3" s="13" t="str"/>
      <x:c r="R3" s="13" t="str">
        <x:v>KP CASE PSWT - Sheet1 - KP CASE PSWT - Sheet1.pdf</x:v>
      </x:c>
    </x:row>
    <x:row r="4" ht="36" customHeight="1">
      <x:c r="A4" s="13" t="str">
        <x:v>KP-25-003-PSWT</x:v>
      </x:c>
      <x:c r="B4" s="13" t="str">
        <x:v>boundary/property</x:v>
      </x:c>
      <x:c r="C4" s="13" t="str">
        <x:v>Real PDF</x:v>
      </x:c>
      <x:c r="D4" s="13" t="str">
        <x:v>KP-25-003-PSWT</x:v>
      </x:c>
      <x:c r="E4" s="13" t="str">
        <x:v>Civil</x:v>
      </x:c>
      <x:c r="F4" s="13" t="str">
        <x:v>Paglilinaw sa inupahang lupa</x:v>
      </x:c>
      <x:c r="G4" s="13" t="str">
        <x:v>January 3, 2025</x:v>
      </x:c>
      <x:c r="H4" s="13" t="str">
        <x:v>-</x:v>
      </x:c>
      <x:c r="I4" s="13" t="str">
        <x:v>Walang paghaharap na nangyari at hindi dumating ang ipinagsumbong</x:v>
      </x:c>
      <x:c r="J4" s="13" t="str">
        <x:v>Endorsed</x:v>
      </x:c>
      <x:c r="K4" s="13" t="str">
        <x:v>KP_COVERED_AMICABLE</x:v>
      </x:c>
      <x:c r="L4" s="13" t="str">
        <x:v>Eligible for KP screening</x:v>
      </x:c>
      <x:c r="M4" s="13" t="str">
        <x:v>Proceed to barangay conciliation / mediation screening</x:v>
      </x:c>
      <x:c r="N4" s="13" t="str">
        <x:v>Local land/property/boundary or neighbor access dispute suitable for KP screening and conciliation.</x:v>
      </x:c>
      <x:c r="O4" s="13" t="str"/>
      <x:c r="P4" s="13" t="str">
        <x:v>Paglilinaw sa inupahang lupa</x:v>
      </x:c>
      <x:c r="Q4" s="13" t="str"/>
      <x:c r="R4" s="13" t="str">
        <x:v>KP CASE PSWT - Sheet1 - KP CASE PSWT - Sheet1.pdf</x:v>
      </x:c>
    </x:row>
    <x:row r="5" ht="36" customHeight="1">
      <x:c r="A5" s="13" t="str">
        <x:v>KP-25-004-PSWT</x:v>
      </x:c>
      <x:c r="B5" s="13" t="str">
        <x:v>debt</x:v>
      </x:c>
      <x:c r="C5" s="13" t="str">
        <x:v>Real PDF</x:v>
      </x:c>
      <x:c r="D5" s="13" t="str">
        <x:v>KP-25-004-PSWT</x:v>
      </x:c>
      <x:c r="E5" s="13" t="str">
        <x:v>Civil</x:v>
      </x:c>
      <x:c r="F5" s="13" t="str">
        <x:v>Hindi pagbabayad ng utanf\g</x:v>
      </x:c>
      <x:c r="G5" s="13" t="str">
        <x:v>January 5, 2025</x:v>
      </x:c>
      <x:c r="H5" s="13" t="str">
        <x:v>January 16, 2025</x:v>
      </x:c>
      <x:c r="I5" s="13" t="str">
        <x:v>Nagkaroon ng pagkakasundo at nangako ang ipinagsumbong na magbabayad ng P8,000 sa February 2025</x:v>
      </x:c>
      <x:c r="J5" s="13" t="str">
        <x:v>Settled</x:v>
      </x:c>
      <x:c r="K5" s="13" t="str">
        <x:v>KP_COVERED_AMICABLE</x:v>
      </x:c>
      <x:c r="L5" s="13" t="str">
        <x:v>Eligible for KP screening</x:v>
      </x:c>
      <x:c r="M5" s="13" t="str">
        <x:v>Proceed to barangay conciliation / mediation screening</x:v>
      </x:c>
      <x:c r="N5" s="13" t="str">
        <x:v>Civil money/property return or small-contract dispute suitable for barangay conciliation if parties meet KP requirements.</x:v>
      </x:c>
      <x:c r="O5" s="13" t="str">
        <x:v>P8,000</x:v>
      </x:c>
      <x:c r="P5" s="13" t="str">
        <x:v>Hindi pagbabayad ng utanf\g</x:v>
      </x:c>
      <x:c r="Q5" s="13" t="str"/>
      <x:c r="R5" s="13" t="str">
        <x:v>KP CASE PSWT - Sheet1 - KP CASE PSWT - Sheet1.pdf</x:v>
      </x:c>
    </x:row>
    <x:row r="6" ht="36" customHeight="1">
      <x:c r="A6" s="13" t="str">
        <x:v>KP-25-005-PSWT</x:v>
      </x:c>
      <x:c r="B6" s="13" t="str">
        <x:v>penalty-over-1-year</x:v>
      </x:c>
      <x:c r="C6" s="13" t="str">
        <x:v>Real PDF</x:v>
      </x:c>
      <x:c r="D6" s="13" t="str">
        <x:v>KP-25-005-PSWT</x:v>
      </x:c>
      <x:c r="E6" s="13" t="str">
        <x:v>Criminal</x:v>
      </x:c>
      <x:c r="F6" s="13" t="str">
        <x:v>Pagnanakaw ng panabong na manok</x:v>
      </x:c>
      <x:c r="G6" s="13" t="str">
        <x:v>January 6, 2025</x:v>
      </x:c>
      <x:c r="H6" s="13" t="str">
        <x:v>-</x:v>
      </x:c>
      <x:c r="I6" s="13" t="str">
        <x:v>Walang paghaharap na nangyari at hindi dumating ang ipinagsumbong</x:v>
      </x:c>
      <x:c r="J6" s="13" t="str">
        <x:v>Endorsed</x:v>
      </x:c>
      <x:c r="K6" s="13" t="str">
        <x:v>NON_KP_REFERRAL</x:v>
      </x:c>
      <x:c r="L6" s="13" t="str">
        <x:v>Not KP due to legal threshold or serious offense</x:v>
      </x:c>
      <x:c r="M6" s="13" t="str">
        <x:v>Refer to PNP/prosecutor/court or proper agency</x:v>
      </x:c>
      <x:c r="N6" s="13" t="str">
        <x:v>Nature suggests offense that may exceed KP penalty threshold or requires prosecutor/police/legal review.</x:v>
      </x:c>
      <x:c r="O6" s="13" t="str"/>
      <x:c r="P6" s="13" t="str">
        <x:v>Pagnanakaw ng panabong na manok</x:v>
      </x:c>
      <x:c r="Q6" s="13" t="str"/>
      <x:c r="R6" s="13" t="str">
        <x:v>KP CASE PSWT - Sheet1 - KP CASE PSWT - Sheet1.pdf</x:v>
      </x:c>
    </x:row>
    <x:row r="7" ht="36" customHeight="1">
      <x:c r="A7" s="13" t="str">
        <x:v>KP-25-006-PSWT</x:v>
      </x:c>
      <x:c r="B7" s="13" t="str">
        <x:v>penalty-over-1-year</x:v>
      </x:c>
      <x:c r="C7" s="13" t="str">
        <x:v>Real PDF</x:v>
      </x:c>
      <x:c r="D7" s="13" t="str">
        <x:v>KP-25-006-PSWT</x:v>
      </x:c>
      <x:c r="E7" s="13" t="str">
        <x:v>Criminal</x:v>
      </x:c>
      <x:c r="F7" s="13" t="str">
        <x:v>Pagnanakaw ng panabong na manok</x:v>
      </x:c>
      <x:c r="G7" s="13" t="str">
        <x:v>January 6, 2025</x:v>
      </x:c>
      <x:c r="H7" s="13" t="str">
        <x:v>-</x:v>
      </x:c>
      <x:c r="I7" s="13" t="str">
        <x:v>Walang paghaharap na nangyari at hindi dumating ang ipinagsumbong</x:v>
      </x:c>
      <x:c r="J7" s="13" t="str">
        <x:v>Endorsed</x:v>
      </x:c>
      <x:c r="K7" s="13" t="str">
        <x:v>NON_KP_REFERRAL</x:v>
      </x:c>
      <x:c r="L7" s="13" t="str">
        <x:v>Not KP due to legal threshold or serious offense</x:v>
      </x:c>
      <x:c r="M7" s="13" t="str">
        <x:v>Refer to PNP/prosecutor/court or proper agency</x:v>
      </x:c>
      <x:c r="N7" s="13" t="str">
        <x:v>Nature suggests offense that may exceed KP penalty threshold or requires prosecutor/police/legal review.</x:v>
      </x:c>
      <x:c r="O7" s="13" t="str"/>
      <x:c r="P7" s="13" t="str">
        <x:v>Pagnanakaw ng panabong na manok</x:v>
      </x:c>
      <x:c r="Q7" s="13" t="str"/>
      <x:c r="R7" s="13" t="str">
        <x:v>KP CASE PSWT - Sheet1 - KP CASE PSWT - Sheet1.pdf</x:v>
      </x:c>
    </x:row>
    <x:row r="8" ht="36" customHeight="1">
      <x:c r="A8" s="13" t="str">
        <x:v>KP-25-007-PSWT</x:v>
      </x:c>
      <x:c r="B8" s="13" t="str">
        <x:v>debt</x:v>
      </x:c>
      <x:c r="C8" s="13" t="str">
        <x:v>Real PDF</x:v>
      </x:c>
      <x:c r="D8" s="13" t="str">
        <x:v>KP-25-007-PSWT</x:v>
      </x:c>
      <x:c r="E8" s="13" t="str">
        <x:v>Civil</x:v>
      </x:c>
      <x:c r="F8" s="13" t="str">
        <x:v>Paglilinaw sa utang na pera</x:v>
      </x:c>
      <x:c r="G8" s="13" t="str">
        <x:v>January 6, 2025</x:v>
      </x:c>
      <x:c r="H8" s="13" t="str">
        <x:v>-</x:v>
      </x:c>
      <x:c r="I8" s="13" t="str">
        <x:v>Walang pagkakasundo at advise ng Punong Barangay na ituloy at malaking halaga</x:v>
      </x:c>
      <x:c r="J8" s="13" t="str">
        <x:v>Dismiss</x:v>
      </x:c>
      <x:c r="K8" s="13" t="str">
        <x:v>KP_COVERED_AMICABLE</x:v>
      </x:c>
      <x:c r="L8" s="13" t="str">
        <x:v>Eligible for KP screening</x:v>
      </x:c>
      <x:c r="M8" s="13" t="str">
        <x:v>Proceed to barangay conciliation / mediation screening</x:v>
      </x:c>
      <x:c r="N8" s="13" t="str">
        <x:v>Civil money/property return or small-contract dispute suitable for barangay conciliation if parties meet KP requirements.</x:v>
      </x:c>
      <x:c r="O8" s="13" t="str"/>
      <x:c r="P8" s="13" t="str">
        <x:v>Paglilinaw sa utang na pera</x:v>
      </x:c>
      <x:c r="Q8" s="13" t="str"/>
      <x:c r="R8" s="13" t="str">
        <x:v>KP CASE PSWT - Sheet1 - KP CASE PSWT - Sheet1.pdf</x:v>
      </x:c>
    </x:row>
    <x:row r="9" ht="36" customHeight="1">
      <x:c r="A9" s="13" t="str">
        <x:v>KP-25-008-PSWT</x:v>
      </x:c>
      <x:c r="B9" s="13" t="str">
        <x:v>boundary/property</x:v>
      </x:c>
      <x:c r="C9" s="13" t="str">
        <x:v>Real PDF</x:v>
      </x:c>
      <x:c r="D9" s="13" t="str">
        <x:v>KP-25-008-PSWT</x:v>
      </x:c>
      <x:c r="E9" s="13" t="str">
        <x:v>Civil</x:v>
      </x:c>
      <x:c r="F9" s="13" t="str">
        <x:v>Paglilinaw sa property</x:v>
      </x:c>
      <x:c r="G9" s="13" t="str">
        <x:v>January 6, 2025</x:v>
      </x:c>
      <x:c r="H9" s="13" t="str">
        <x:v>January 8, 2025</x:v>
      </x:c>
      <x:c r="I9" s="13" t="str">
        <x:v>Ipaparating ng manugang ng ipinagsumbong anf napag- usapan ng may sumbong</x:v>
      </x:c>
      <x:c r="J9" s="13" t="str">
        <x:v>Settled</x:v>
      </x:c>
      <x:c r="K9" s="13" t="str">
        <x:v>KP_COVERED_AMICABLE</x:v>
      </x:c>
      <x:c r="L9" s="13" t="str">
        <x:v>Eligible for KP screening</x:v>
      </x:c>
      <x:c r="M9" s="13" t="str">
        <x:v>Proceed to barangay conciliation / mediation screening</x:v>
      </x:c>
      <x:c r="N9" s="13" t="str">
        <x:v>Local land/property/boundary or neighbor access dispute suitable for KP screening and conciliation.</x:v>
      </x:c>
      <x:c r="O9" s="13" t="str"/>
      <x:c r="P9" s="13" t="str">
        <x:v>Paglilinaw sa property</x:v>
      </x:c>
      <x:c r="Q9" s="13" t="str"/>
      <x:c r="R9" s="13" t="str">
        <x:v>KP CASE PSWT - Sheet1 - KP CASE PSWT - Sheet1.pdf</x:v>
      </x:c>
    </x:row>
    <x:row r="10" ht="36" customHeight="1">
      <x:c r="A10" s="13" t="str">
        <x:v>KP-25-009-PSWT</x:v>
      </x:c>
      <x:c r="B10" s="13" t="str">
        <x:v>boundary/property</x:v>
      </x:c>
      <x:c r="C10" s="13" t="str">
        <x:v>Real PDF</x:v>
      </x:c>
      <x:c r="D10" s="13" t="str">
        <x:v>KP-25-009-PSWT</x:v>
      </x:c>
      <x:c r="E10" s="13" t="str">
        <x:v>Civil</x:v>
      </x:c>
      <x:c r="F10" s="13" t="str">
        <x:v>Paglilinaw sa biniling lupa</x:v>
      </x:c>
      <x:c r="G10" s="13" t="str">
        <x:v>January 8, 2025</x:v>
      </x:c>
      <x:c r="H10" s="13" t="str">
        <x:v>-</x:v>
      </x:c>
      <x:c r="I10" s="13" t="str">
        <x:v>Nagkaroon ng paghaharap subalit walang pagkakasundo sa dalawang panig</x:v>
      </x:c>
      <x:c r="J10" s="13" t="str">
        <x:v>Endorsed</x:v>
      </x:c>
      <x:c r="K10" s="13" t="str">
        <x:v>KP_COVERED_AMICABLE</x:v>
      </x:c>
      <x:c r="L10" s="13" t="str">
        <x:v>Eligible for KP screening</x:v>
      </x:c>
      <x:c r="M10" s="13" t="str">
        <x:v>Proceed to barangay conciliation / mediation screening</x:v>
      </x:c>
      <x:c r="N10" s="13" t="str">
        <x:v>Local land/property/boundary or neighbor access dispute suitable for KP screening and conciliation.</x:v>
      </x:c>
      <x:c r="O10" s="13" t="str"/>
      <x:c r="P10" s="13" t="str">
        <x:v>Paglilinaw sa biniling lupa</x:v>
      </x:c>
      <x:c r="Q10" s="13" t="str"/>
      <x:c r="R10" s="13" t="str">
        <x:v>KP CASE PSWT - Sheet1 - KP CASE PSWT - Sheet1.pdf</x:v>
      </x:c>
    </x:row>
    <x:row r="11" ht="36" customHeight="1">
      <x:c r="A11" s="13" t="str">
        <x:v>KP-25-010-PSWT</x:v>
      </x:c>
      <x:c r="B11" s="13" t="str">
        <x:v>outside-KP</x:v>
      </x:c>
      <x:c r="C11" s="13" t="str">
        <x:v>Real PDF</x:v>
      </x:c>
      <x:c r="D11" s="13" t="str">
        <x:v>KP-25-010-PSWT</x:v>
      </x:c>
      <x:c r="E11" s="13" t="str">
        <x:v>Criminal</x:v>
      </x:c>
      <x:c r="F11" s="13" t="str">
        <x:v>Aksidente</x:v>
      </x:c>
      <x:c r="G11" s="13" t="str">
        <x:v>January 8, 2025</x:v>
      </x:c>
      <x:c r="H11" s="13" t="str">
        <x:v>-</x:v>
      </x:c>
      <x:c r="I11" s="13" t="str">
        <x:v>Nagkaroon ng paghaharap subalit walang pagkakasundo sa dalawang panig</x:v>
      </x:c>
      <x:c r="J11" s="13" t="str">
        <x:v>Endorsed</x:v>
      </x:c>
      <x:c r="K11" s="13" t="str">
        <x:v>NON_KP_REVIEW</x:v>
      </x:c>
      <x:c r="L11" s="13" t="str">
        <x:v>Needs legal/KP eligibility review</x:v>
      </x:c>
      <x:c r="M11" s="13" t="str">
        <x:v>Flag for secretary/lupon review before action</x:v>
      </x:c>
      <x:c r="N11" s="13" t="str">
        <x:v>Does not match the covered example categories or needs non-KP/legal review before conciliation.</x:v>
      </x:c>
      <x:c r="O11" s="13" t="str"/>
      <x:c r="P11" s="13" t="str">
        <x:v>Aksidente</x:v>
      </x:c>
      <x:c r="Q11" s="13" t="str"/>
      <x:c r="R11" s="13" t="str">
        <x:v>KP CASE PSWT - Sheet1 - KP CASE PSWT - Sheet1.pdf</x:v>
      </x:c>
    </x:row>
    <x:row r="12" ht="36" customHeight="1">
      <x:c r="A12" s="13" t="str">
        <x:v>KP-25-011-PSWT</x:v>
      </x:c>
      <x:c r="B12" s="13" t="str">
        <x:v>debt</x:v>
      </x:c>
      <x:c r="C12" s="13" t="str">
        <x:v>Real PDF</x:v>
      </x:c>
      <x:c r="D12" s="13" t="str">
        <x:v>KP-25-011-PSWT</x:v>
      </x:c>
      <x:c r="E12" s="13" t="str">
        <x:v>Civil</x:v>
      </x:c>
      <x:c r="F12" s="13" t="str">
        <x:v>Paglilinaw sa utang na pera</x:v>
      </x:c>
      <x:c r="G12" s="13" t="str">
        <x:v>January 13, 2025</x:v>
      </x:c>
      <x:c r="H12" s="13" t="str">
        <x:v>January 17, 2025</x:v>
      </x:c>
      <x:c r="I12" s="13" t="str">
        <x:v>Nagkaroon ng pagkakasundo at nangako ang ipinagsumbong na magbibigay siya ng 100 every other day</x:v>
      </x:c>
      <x:c r="J12" s="13" t="str">
        <x:v>Settled</x:v>
      </x:c>
      <x:c r="K12" s="13" t="str">
        <x:v>KP_COVERED_AMICABLE</x:v>
      </x:c>
      <x:c r="L12" s="13" t="str">
        <x:v>Eligible for KP screening</x:v>
      </x:c>
      <x:c r="M12" s="13" t="str">
        <x:v>Proceed to barangay conciliation / mediation screening</x:v>
      </x:c>
      <x:c r="N12" s="13" t="str">
        <x:v>Civil money/property return or small-contract dispute suitable for barangay conciliation if parties meet KP requirements.</x:v>
      </x:c>
      <x:c r="O12" s="13" t="str"/>
      <x:c r="P12" s="13" t="str">
        <x:v>Paglilinaw sa utang na pera</x:v>
      </x:c>
      <x:c r="Q12" s="13" t="str"/>
      <x:c r="R12" s="13" t="str">
        <x:v>KP CASE PSWT - Sheet1 - KP CASE PSWT - Sheet1.pdf</x:v>
      </x:c>
    </x:row>
    <x:row r="13" ht="36" customHeight="1">
      <x:c r="A13" s="13" t="str">
        <x:v>KP-25-012-PSWT</x:v>
      </x:c>
      <x:c r="B13" s="13" t="str">
        <x:v>debt</x:v>
      </x:c>
      <x:c r="C13" s="13" t="str">
        <x:v>Real PDF</x:v>
      </x:c>
      <x:c r="D13" s="13" t="str">
        <x:v>KP-25-012-PSWT</x:v>
      </x:c>
      <x:c r="E13" s="13" t="str">
        <x:v>Civil</x:v>
      </x:c>
      <x:c r="F13" s="13" t="str">
        <x:v>Paglilinaw sa utang na pera</x:v>
      </x:c>
      <x:c r="G13" s="13" t="str">
        <x:v>January 13, 2025</x:v>
      </x:c>
      <x:c r="H13" s="13" t="str">
        <x:v>January 22, 2025</x:v>
      </x:c>
      <x:c r="I13" s="13" t="str">
        <x:v>Nagkaroon ng pagkakasundo at nangako ang ipinagsumbong na magbibigay siya ng 2,500 ng January at katapusan</x:v>
      </x:c>
      <x:c r="J13" s="13" t="str">
        <x:v>Settled</x:v>
      </x:c>
      <x:c r="K13" s="13" t="str">
        <x:v>KP_COVERED_AMICABLE</x:v>
      </x:c>
      <x:c r="L13" s="13" t="str">
        <x:v>Eligible for KP screening</x:v>
      </x:c>
      <x:c r="M13" s="13" t="str">
        <x:v>Proceed to barangay conciliation / mediation screening</x:v>
      </x:c>
      <x:c r="N13" s="13" t="str">
        <x:v>Civil money/property return or small-contract dispute suitable for barangay conciliation if parties meet KP requirements.</x:v>
      </x:c>
      <x:c r="O13" s="13" t="str">
        <x:v>2,500</x:v>
      </x:c>
      <x:c r="P13" s="13" t="str">
        <x:v>Paglilinaw sa utang na pera</x:v>
      </x:c>
      <x:c r="Q13" s="13" t="str"/>
      <x:c r="R13" s="13" t="str">
        <x:v>KP CASE PSWT - Sheet1 - KP CASE PSWT - Sheet1.pdf</x:v>
      </x:c>
    </x:row>
    <x:row r="14" ht="36" customHeight="1">
      <x:c r="A14" s="13" t="str">
        <x:v>KP-25-013-PSWT</x:v>
      </x:c>
      <x:c r="B14" s="13" t="str">
        <x:v>outside-KP</x:v>
      </x:c>
      <x:c r="C14" s="13" t="str">
        <x:v>Real PDF</x:v>
      </x:c>
      <x:c r="D14" s="13" t="str">
        <x:v>KP-25-013-PSWT</x:v>
      </x:c>
      <x:c r="E14" s="13" t="str">
        <x:v>Criminal</x:v>
      </x:c>
      <x:c r="F14" s="13" t="str">
        <x:v>Paninirang puri</x:v>
      </x:c>
      <x:c r="G14" s="13" t="str">
        <x:v>January 17, 2025</x:v>
      </x:c>
      <x:c r="H14" s="13" t="str">
        <x:v>-</x:v>
      </x:c>
      <x:c r="I14" s="13" t="str">
        <x:v>Nagkaroon ng paghaharap subalit walang pagkakasundo sa dalawang panig</x:v>
      </x:c>
      <x:c r="J14" s="13" t="str">
        <x:v>Dismiss</x:v>
      </x:c>
      <x:c r="K14" s="13" t="str">
        <x:v>NON_KP_REVIEW</x:v>
      </x:c>
      <x:c r="L14" s="13" t="str">
        <x:v>Needs legal/KP eligibility review</x:v>
      </x:c>
      <x:c r="M14" s="13" t="str">
        <x:v>Flag for secretary/lupon review before action</x:v>
      </x:c>
      <x:c r="N14" s="13" t="str">
        <x:v>Does not match the covered example categories or needs non-KP/legal review before conciliation.</x:v>
      </x:c>
      <x:c r="O14" s="13" t="str"/>
      <x:c r="P14" s="13" t="str">
        <x:v>Paninirang puri</x:v>
      </x:c>
      <x:c r="Q14" s="13" t="str"/>
      <x:c r="R14" s="13" t="str">
        <x:v>KP CASE PSWT - Sheet1 - KP CASE PSWT - Sheet1.pdf</x:v>
      </x:c>
    </x:row>
    <x:row r="15" ht="36" customHeight="1">
      <x:c r="A15" s="13" t="str">
        <x:v>KP-25-014-PSWT</x:v>
      </x:c>
      <x:c r="B15" s="13" t="str">
        <x:v>debt</x:v>
      </x:c>
      <x:c r="C15" s="13" t="str">
        <x:v>Real PDF</x:v>
      </x:c>
      <x:c r="D15" s="13" t="str">
        <x:v>KP-25-014-PSWT</x:v>
      </x:c>
      <x:c r="E15" s="13" t="str">
        <x:v>Civil</x:v>
      </x:c>
      <x:c r="F15" s="13" t="str">
        <x:v>Pagbebenta ng motor na hindi pag-aari</x:v>
      </x:c>
      <x:c r="G15" s="13" t="str">
        <x:v>January 20, 2025</x:v>
      </x:c>
      <x:c r="H15" s="13" t="str">
        <x:v>January 23, 2025</x:v>
      </x:c>
      <x:c r="I15" s="13" t="str">
        <x:v>Nagkaroon ng pagkakasundo at nangako ang ipinagsumbong na magbibigay ng P10,000 sa February 10, 2025</x:v>
      </x:c>
      <x:c r="J15" s="13" t="str">
        <x:v>Settled</x:v>
      </x:c>
      <x:c r="K15" s="13" t="str">
        <x:v>KP_COVERED_AMICABLE</x:v>
      </x:c>
      <x:c r="L15" s="13" t="str">
        <x:v>Eligible for KP screening</x:v>
      </x:c>
      <x:c r="M15" s="13" t="str">
        <x:v>Proceed to barangay conciliation / mediation screening</x:v>
      </x:c>
      <x:c r="N15" s="13" t="str">
        <x:v>Civil money/property return or small-contract dispute suitable for barangay conciliation if parties meet KP requirements.</x:v>
      </x:c>
      <x:c r="O15" s="13" t="str">
        <x:v>P10,000</x:v>
      </x:c>
      <x:c r="P15" s="13" t="str">
        <x:v>Pagbebenta ng motor na hindi pag-aari</x:v>
      </x:c>
      <x:c r="Q15" s="13" t="str"/>
      <x:c r="R15" s="13" t="str">
        <x:v>KP CASE PSWT - Sheet1 - KP CASE PSWT - Sheet1.pdf</x:v>
      </x:c>
    </x:row>
    <x:row r="16" ht="36" customHeight="1">
      <x:c r="A16" s="13" t="str">
        <x:v>KP-25-015-PSWT</x:v>
      </x:c>
      <x:c r="B16" s="13" t="str">
        <x:v>debt</x:v>
      </x:c>
      <x:c r="C16" s="13" t="str">
        <x:v>Real PDF</x:v>
      </x:c>
      <x:c r="D16" s="13" t="str">
        <x:v>KP-25-015-PSWT</x:v>
      </x:c>
      <x:c r="E16" s="13" t="str">
        <x:v>Civil</x:v>
      </x:c>
      <x:c r="F16" s="13" t="str">
        <x:v>Hindi pagbabayad ng utang</x:v>
      </x:c>
      <x:c r="G16" s="13" t="str">
        <x:v>January 28, 2025</x:v>
      </x:c>
      <x:c r="H16" s="13" t="str">
        <x:v>February 20, 2025</x:v>
      </x:c>
      <x:c r="I16" s="13" t="str">
        <x:v>Nagkaroon ng pagkakasundo at nangako ang ipinagsumbong na maghuhulog ng 500 tuwing huwebes</x:v>
      </x:c>
      <x:c r="J16" s="13" t="str">
        <x:v>Settled</x:v>
      </x:c>
      <x:c r="K16" s="13" t="str">
        <x:v>KP_COVERED_AMICABLE</x:v>
      </x:c>
      <x:c r="L16" s="13" t="str">
        <x:v>Eligible for KP screening</x:v>
      </x:c>
      <x:c r="M16" s="13" t="str">
        <x:v>Proceed to barangay conciliation / mediation screening</x:v>
      </x:c>
      <x:c r="N16" s="13" t="str">
        <x:v>Civil money/property return or small-contract dispute suitable for barangay conciliation if parties meet KP requirements.</x:v>
      </x:c>
      <x:c r="O16" s="13" t="str"/>
      <x:c r="P16" s="13" t="str">
        <x:v>Hindi pagbabayad ng utang</x:v>
      </x:c>
      <x:c r="Q16" s="13" t="str"/>
      <x:c r="R16" s="13" t="str">
        <x:v>KP CASE PSWT - Sheet1 - KP CASE PSWT - Sheet1.pdf</x:v>
      </x:c>
    </x:row>
    <x:row r="17" ht="36" customHeight="1">
      <x:c r="A17" s="13" t="str">
        <x:v>KP-25-016-PSWT</x:v>
      </x:c>
      <x:c r="B17" s="13" t="str">
        <x:v>penalty-over-1-year</x:v>
      </x:c>
      <x:c r="C17" s="13" t="str">
        <x:v>Real PDF</x:v>
      </x:c>
      <x:c r="D17" s="13" t="str">
        <x:v>KP-25-016-PSWT</x:v>
      </x:c>
      <x:c r="E17" s="13" t="str">
        <x:v>Criminal</x:v>
      </x:c>
      <x:c r="F17" s="13" t="str">
        <x:v>Pananaga ng itak</x:v>
      </x:c>
      <x:c r="G17" s="13" t="str">
        <x:v>February 2, 2025</x:v>
      </x:c>
      <x:c r="H17" s="13" t="str">
        <x:v>-</x:v>
      </x:c>
      <x:c r="I17" s="13" t="str">
        <x:v>Nagkaroon ng paghaharap subalit walang pagkakasundo. At ang maysumbong ay hindi na bumalik.</x:v>
      </x:c>
      <x:c r="J17" s="13" t="str">
        <x:v>Dismiss</x:v>
      </x:c>
      <x:c r="K17" s="13" t="str">
        <x:v>NON_KP_REFERRAL</x:v>
      </x:c>
      <x:c r="L17" s="13" t="str">
        <x:v>Not KP due to legal threshold or serious offense</x:v>
      </x:c>
      <x:c r="M17" s="13" t="str">
        <x:v>Refer to PNP/prosecutor/court or proper agency</x:v>
      </x:c>
      <x:c r="N17" s="13" t="str">
        <x:v>Nature suggests offense that may exceed KP penalty threshold or requires prosecutor/police/legal review.</x:v>
      </x:c>
      <x:c r="O17" s="13" t="str"/>
      <x:c r="P17" s="13" t="str">
        <x:v>Pananaga ng itak</x:v>
      </x:c>
      <x:c r="Q17" s="13" t="str"/>
      <x:c r="R17" s="13" t="str">
        <x:v>KP CASE PSWT - Sheet1 - KP CASE PSWT - Sheet1.pdf</x:v>
      </x:c>
    </x:row>
    <x:row r="18" ht="36" customHeight="1">
      <x:c r="A18" s="13" t="str">
        <x:v>KP-25-017-PSWT</x:v>
      </x:c>
      <x:c r="B18" s="13" t="str">
        <x:v>VAWC/child abuse</x:v>
      </x:c>
      <x:c r="C18" s="13" t="str">
        <x:v>Real PDF</x:v>
      </x:c>
      <x:c r="D18" s="13" t="str">
        <x:v>KP-25-017-PSWT</x:v>
      </x:c>
      <x:c r="E18" s="13" t="str">
        <x:v>Criminal</x:v>
      </x:c>
      <x:c r="F18" s="13" t="str">
        <x:v>Pangmomolestiya</x:v>
      </x:c>
      <x:c r="G18" s="13" t="str">
        <x:v>February 3, 2025</x:v>
      </x:c>
      <x:c r="H18" s="13" t="str">
        <x:v>-</x:v>
      </x:c>
      <x:c r="I18" s="13" t="str">
        <x:v>Nagkaroon ng paghaharap subalit walang pagkakasundo. At ang maysumbong ay hindi na bumalik.</x:v>
      </x:c>
      <x:c r="J18" s="13" t="str">
        <x:v>Endorsed</x:v>
      </x:c>
      <x:c r="K18" s="13" t="str">
        <x:v>REFER_VAWC_CHILD_PROTECTION</x:v>
      </x:c>
      <x:c r="L18" s="13" t="str">
        <x:v>Not KP; mandatory safety referral screening</x:v>
      </x:c>
      <x:c r="M18" s="13" t="str">
        <x:v>Refer to appropriate authority / protection desk; do not mediate as ordinary KP case</x:v>
      </x:c>
      <x:c r="N18" s="13" t="str">
        <x:v>Nature indicates child/sexual-protection screening; refer for safety/legal assessment.</x:v>
      </x:c>
      <x:c r="O18" s="13" t="str"/>
      <x:c r="P18" s="13" t="str">
        <x:v>Pangmomolestiya</x:v>
      </x:c>
      <x:c r="Q18" s="13" t="str"/>
      <x:c r="R18" s="13" t="str">
        <x:v>KP CASE PSWT - Sheet1 - KP CASE PSWT - Sheet1.pdf</x:v>
      </x:c>
    </x:row>
    <x:row r="19" ht="36" customHeight="1">
      <x:c r="A19" s="13" t="str">
        <x:v>KP-25-018-PSWT</x:v>
      </x:c>
      <x:c r="B19" s="13" t="str">
        <x:v>physical injury</x:v>
      </x:c>
      <x:c r="C19" s="13" t="str">
        <x:v>Real PDF</x:v>
      </x:c>
      <x:c r="D19" s="13" t="str">
        <x:v>KP-25-018-PSWT</x:v>
      </x:c>
      <x:c r="E19" s="13" t="str">
        <x:v>Criminal</x:v>
      </x:c>
      <x:c r="F19" s="13" t="str">
        <x:v>Pananakit</x:v>
      </x:c>
      <x:c r="G19" s="13" t="str">
        <x:v>February 13, 2025</x:v>
      </x:c>
      <x:c r="H19" s="13" t="str">
        <x:v>-</x:v>
      </x:c>
      <x:c r="I19" s="13" t="str">
        <x:v>Nagkaroon ng paghaharap subalit walang pagkakasundo. At ang maysumbong ay hindi na bumalik.</x:v>
      </x:c>
      <x:c r="J19" s="13" t="str">
        <x:v>Endorsed</x:v>
      </x:c>
      <x:c r="K19" s="13" t="str">
        <x:v>KP_COVERED_AMICABLE</x:v>
      </x:c>
      <x:c r="L19" s="13" t="str">
        <x:v>Eligible for KP screening</x:v>
      </x:c>
      <x:c r="M19" s="13" t="str">
        <x:v>Proceed to barangay conciliation / mediation screening</x:v>
      </x:c>
      <x:c r="N19" s="13" t="str">
        <x:v>Minor physical injury or altercation example; system should still screen severity, weapons, and medical findings.</x:v>
      </x:c>
      <x:c r="O19" s="13" t="str"/>
      <x:c r="P19" s="13" t="str">
        <x:v>Pananakit</x:v>
      </x:c>
      <x:c r="Q19" s="13" t="str"/>
      <x:c r="R19" s="13" t="str">
        <x:v>KP CASE PSWT - Sheet1 - KP CASE PSWT - Sheet1.pdf</x:v>
      </x:c>
    </x:row>
    <x:row r="20" ht="36" customHeight="1">
      <x:c r="A20" s="13" t="str">
        <x:v>KP-25-019-PSWT</x:v>
      </x:c>
      <x:c r="B20" s="13" t="str">
        <x:v>debt</x:v>
      </x:c>
      <x:c r="C20" s="13" t="str">
        <x:v>Real PDF</x:v>
      </x:c>
      <x:c r="D20" s="13" t="str">
        <x:v>KP-25-019-PSWT</x:v>
      </x:c>
      <x:c r="E20" s="13" t="str">
        <x:v>Civil</x:v>
      </x:c>
      <x:c r="F20" s="13" t="str">
        <x:v>Paglilinaw sa nakuhang pera</x:v>
      </x:c>
      <x:c r="G20" s="13" t="str">
        <x:v>February 21, 2025</x:v>
      </x:c>
      <x:c r="H20" s="13" t="str">
        <x:v>-</x:v>
      </x:c>
      <x:c r="I20" s="13" t="str">
        <x:v>Walang paghaharap na nangyari at hindi dumating ang ipinagsumbong. Hindi na bumalik ang maysumbong.</x:v>
      </x:c>
      <x:c r="J20" s="13" t="str">
        <x:v>Dismiss</x:v>
      </x:c>
      <x:c r="K20" s="13" t="str">
        <x:v>KP_COVERED_AMICABLE</x:v>
      </x:c>
      <x:c r="L20" s="13" t="str">
        <x:v>Eligible for KP screening</x:v>
      </x:c>
      <x:c r="M20" s="13" t="str">
        <x:v>Proceed to barangay conciliation / mediation screening</x:v>
      </x:c>
      <x:c r="N20" s="13" t="str">
        <x:v>Civil money/property return or small-contract dispute suitable for barangay conciliation if parties meet KP requirements.</x:v>
      </x:c>
      <x:c r="O20" s="13" t="str"/>
      <x:c r="P20" s="13" t="str">
        <x:v>Paglilinaw sa nakuhang pera</x:v>
      </x:c>
      <x:c r="Q20" s="13" t="str"/>
      <x:c r="R20" s="13" t="str">
        <x:v>KP CASE PSWT - Sheet1 - KP CASE PSWT - Sheet1.pdf</x:v>
      </x:c>
    </x:row>
    <x:row r="21" ht="36" customHeight="1">
      <x:c r="A21" s="13" t="str">
        <x:v>KP-25-020-PSWT</x:v>
      </x:c>
      <x:c r="B21" s="13" t="str">
        <x:v>boundary/property</x:v>
      </x:c>
      <x:c r="C21" s="13" t="str">
        <x:v>Real PDF</x:v>
      </x:c>
      <x:c r="D21" s="13" t="str">
        <x:v>KP-25-020-PSWT</x:v>
      </x:c>
      <x:c r="E21" s="13" t="str">
        <x:v>Civil</x:v>
      </x:c>
      <x:c r="F21" s="13" t="str">
        <x:v>Lupang pinasukat</x:v>
      </x:c>
      <x:c r="G21" s="13" t="str">
        <x:v>February 23, 2025</x:v>
      </x:c>
      <x:c r="H21" s="13" t="str">
        <x:v>-</x:v>
      </x:c>
      <x:c r="I21" s="13" t="str">
        <x:v>Hindi dumadating ang ipinagsumbong sa oras ng hearing.</x:v>
      </x:c>
      <x:c r="J21" s="13" t="str">
        <x:v>Endorsed</x:v>
      </x:c>
      <x:c r="K21" s="13" t="str">
        <x:v>KP_COVERED_AMICABLE</x:v>
      </x:c>
      <x:c r="L21" s="13" t="str">
        <x:v>Eligible for KP screening</x:v>
      </x:c>
      <x:c r="M21" s="13" t="str">
        <x:v>Proceed to barangay conciliation / mediation screening</x:v>
      </x:c>
      <x:c r="N21" s="13" t="str">
        <x:v>Local land/property/boundary or neighbor access dispute suitable for KP screening and conciliation.</x:v>
      </x:c>
      <x:c r="O21" s="13" t="str"/>
      <x:c r="P21" s="13" t="str">
        <x:v>Lupang pinasukat</x:v>
      </x:c>
      <x:c r="Q21" s="13" t="str"/>
      <x:c r="R21" s="13" t="str">
        <x:v>KP CASE PSWT - Sheet1 - KP CASE PSWT - Sheet1.pdf</x:v>
      </x:c>
    </x:row>
    <x:row r="22" ht="36" customHeight="1">
      <x:c r="A22" s="13" t="str">
        <x:v>KP-25-021-PSWT</x:v>
      </x:c>
      <x:c r="B22" s="13" t="str">
        <x:v>VAWC/child abuse</x:v>
      </x:c>
      <x:c r="C22" s="13" t="str">
        <x:v>Real PDF</x:v>
      </x:c>
      <x:c r="D22" s="13" t="str">
        <x:v>KP-25-021-PSWT</x:v>
      </x:c>
      <x:c r="E22" s="13" t="str">
        <x:v>Criminal</x:v>
      </x:c>
      <x:c r="F22" s="13" t="str">
        <x:v>Panghahabol ng bata</x:v>
      </x:c>
      <x:c r="G22" s="13" t="str">
        <x:v>February 23, 2025</x:v>
      </x:c>
      <x:c r="H22" s="13" t="str">
        <x:v>-</x:v>
      </x:c>
      <x:c r="I22" s="13" t="str">
        <x:v>Walang pagkakasundo sa pagitan ng maysumbong at ipinaaumbong.</x:v>
      </x:c>
      <x:c r="J22" s="13" t="str">
        <x:v>Endorsed</x:v>
      </x:c>
      <x:c r="K22" s="13" t="str">
        <x:v>REFER_VAWC_CHILD_PROTECTION</x:v>
      </x:c>
      <x:c r="L22" s="13" t="str">
        <x:v>Not KP; mandatory safety referral screening</x:v>
      </x:c>
      <x:c r="M22" s="13" t="str">
        <x:v>Refer to appropriate authority / protection desk; do not mediate as ordinary KP case</x:v>
      </x:c>
      <x:c r="N22" s="13" t="str">
        <x:v>Nature indicates child/sexual-protection screening; refer for safety/legal assessment.</x:v>
      </x:c>
      <x:c r="O22" s="13" t="str"/>
      <x:c r="P22" s="13" t="str">
        <x:v>Panghahabol ng bata</x:v>
      </x:c>
      <x:c r="Q22" s="13" t="str"/>
      <x:c r="R22" s="13" t="str">
        <x:v>KP CASE PSWT - Sheet1 - KP CASE PSWT - Sheet1.pdf</x:v>
      </x:c>
    </x:row>
    <x:row r="23" ht="36" customHeight="1">
      <x:c r="A23" s="13" t="str">
        <x:v>KP-25-022-PSWT</x:v>
      </x:c>
      <x:c r="B23" s="13" t="str">
        <x:v>threats</x:v>
      </x:c>
      <x:c r="C23" s="13" t="str">
        <x:v>Real PDF</x:v>
      </x:c>
      <x:c r="D23" s="13" t="str">
        <x:v>KP-25-022-PSWT</x:v>
      </x:c>
      <x:c r="E23" s="13" t="str">
        <x:v>Civil</x:v>
      </x:c>
      <x:c r="F23" s="13" t="str">
        <x:v>Pagbabanta at paninira ng pinto</x:v>
      </x:c>
      <x:c r="G23" s="13" t="str">
        <x:v>February 25, 2025</x:v>
      </x:c>
      <x:c r="H23" s="13" t="str">
        <x:v>02/28/2025</x:v>
      </x:c>
      <x:c r="I23" s="13" t="str">
        <x:v>Nagkaroon ng pagkakasundo nanghingi ng pasensya ang mag-asawang ipinagsumbong sa mag-asawang maysumbong.</x:v>
      </x:c>
      <x:c r="J23" s="13" t="str">
        <x:v>Settled</x:v>
      </x:c>
      <x:c r="K23" s="13" t="str">
        <x:v>KP_COVERED_AMICABLE</x:v>
      </x:c>
      <x:c r="L23" s="13" t="str">
        <x:v>Eligible for KP screening</x:v>
      </x:c>
      <x:c r="M23" s="13" t="str">
        <x:v>Proceed to barangay conciliation / mediation screening</x:v>
      </x:c>
      <x:c r="N23" s="13" t="str">
        <x:v>Threat/harassment dispute; proceed to KP only if minor and no imminent danger or protected-person issue.</x:v>
      </x:c>
      <x:c r="O23" s="13" t="str"/>
      <x:c r="P23" s="13" t="str">
        <x:v>Pagbabanta at paninira ng pinto</x:v>
      </x:c>
      <x:c r="Q23" s="13" t="str"/>
      <x:c r="R23" s="13" t="str">
        <x:v>KP CASE PSWT - Sheet1 - KP CASE PSWT - Sheet1.pdf</x:v>
      </x:c>
    </x:row>
    <x:row r="24" ht="36" customHeight="1">
      <x:c r="A24" s="13" t="str">
        <x:v>KP-25-023-PSWT</x:v>
      </x:c>
      <x:c r="B24" s="13" t="str">
        <x:v>threats</x:v>
      </x:c>
      <x:c r="C24" s="13" t="str">
        <x:v>Real PDF</x:v>
      </x:c>
      <x:c r="D24" s="13" t="str">
        <x:v>KP-25-023-PSWT</x:v>
      </x:c>
      <x:c r="E24" s="13" t="str">
        <x:v>Criminal</x:v>
      </x:c>
      <x:c r="F24" s="13" t="str">
        <x:v>Paninigaw at pag-amba ng hahampasin</x:v>
      </x:c>
      <x:c r="G24" s="13" t="str">
        <x:v>March 4, 2025</x:v>
      </x:c>
      <x:c r="H24" s="13" t="str">
        <x:v>-</x:v>
      </x:c>
      <x:c r="I24" s="13" t="str">
        <x:v>Walang pagkakasundo sa dalawang panig kaya't ang maysumbong ay may karapatan ng maghain ng kaukulang reklamo sa kinauukulang tanggapan.</x:v>
      </x:c>
      <x:c r="J24" s="13" t="str">
        <x:v>Endorsed</x:v>
      </x:c>
      <x:c r="K24" s="13" t="str">
        <x:v>KP_COVERED_AMICABLE</x:v>
      </x:c>
      <x:c r="L24" s="13" t="str">
        <x:v>Eligible for KP screening</x:v>
      </x:c>
      <x:c r="M24" s="13" t="str">
        <x:v>Proceed to barangay conciliation / mediation screening</x:v>
      </x:c>
      <x:c r="N24" s="13" t="str">
        <x:v>Threat/harassment dispute; proceed to KP only if minor and no imminent danger or protected-person issue.</x:v>
      </x:c>
      <x:c r="O24" s="13" t="str"/>
      <x:c r="P24" s="13" t="str">
        <x:v>Paninigaw at pag-amba ng hahampasin</x:v>
      </x:c>
      <x:c r="Q24" s="13" t="str"/>
      <x:c r="R24" s="13" t="str">
        <x:v>KP CASE PSWT - Sheet1 - KP CASE PSWT - Sheet1.pdf</x:v>
      </x:c>
    </x:row>
    <x:row r="25" ht="36" customHeight="1">
      <x:c r="A25" s="13" t="str">
        <x:v>KP-25-024-PSWT</x:v>
      </x:c>
      <x:c r="B25" s="13" t="str">
        <x:v>penalty-over-1-year</x:v>
      </x:c>
      <x:c r="C25" s="13" t="str">
        <x:v>Real PDF</x:v>
      </x:c>
      <x:c r="D25" s="13" t="str">
        <x:v>KP-25-024-PSWT</x:v>
      </x:c>
      <x:c r="E25" s="13" t="str">
        <x:v>Criminal</x:v>
      </x:c>
      <x:c r="F25" s="13" t="str">
        <x:v>Binunutan ng ice pick</x:v>
      </x:c>
      <x:c r="G25" s="13" t="str">
        <x:v>March 4, 2025</x:v>
      </x:c>
      <x:c r="H25" s="13" t="str">
        <x:v>March 7, 2025</x:v>
      </x:c>
      <x:c r="I25" s="13" t="str">
        <x:v>Nagkaroon ng pagkakasundo humingi ng pasensya ang bawat isa sa nangyari.</x:v>
      </x:c>
      <x:c r="J25" s="13" t="str">
        <x:v>Settled</x:v>
      </x:c>
      <x:c r="K25" s="13" t="str">
        <x:v>NON_KP_REFERRAL</x:v>
      </x:c>
      <x:c r="L25" s="13" t="str">
        <x:v>Not KP due to legal threshold or serious offense</x:v>
      </x:c>
      <x:c r="M25" s="13" t="str">
        <x:v>Refer to PNP/prosecutor/court or proper agency</x:v>
      </x:c>
      <x:c r="N25" s="13" t="str">
        <x:v>Nature suggests offense that may exceed KP penalty threshold or requires prosecutor/police/legal review.</x:v>
      </x:c>
      <x:c r="O25" s="13" t="str"/>
      <x:c r="P25" s="13" t="str">
        <x:v>Binunutan ng ice pick</x:v>
      </x:c>
      <x:c r="Q25" s="13" t="str"/>
      <x:c r="R25" s="13" t="str">
        <x:v>KP CASE PSWT - Sheet1 - KP CASE PSWT - Sheet1.pdf</x:v>
      </x:c>
    </x:row>
    <x:row r="26" ht="36" customHeight="1">
      <x:c r="A26" s="13" t="str">
        <x:v>KP-25-025-PSWT</x:v>
      </x:c>
      <x:c r="B26" s="13" t="str">
        <x:v>boundary/property</x:v>
      </x:c>
      <x:c r="C26" s="13" t="str">
        <x:v>Real PDF</x:v>
      </x:c>
      <x:c r="D26" s="13" t="str">
        <x:v>KP-25-025-PSWT</x:v>
      </x:c>
      <x:c r="E26" s="13" t="str">
        <x:v>Civil</x:v>
      </x:c>
      <x:c r="F26" s="13" t="str">
        <x:v>Hindi pagsunod sa pagpapatitulo ng lupa</x:v>
      </x:c>
      <x:c r="G26" s="13" t="str">
        <x:v>February 23, 2025</x:v>
      </x:c>
      <x:c r="H26" s="13" t="str">
        <x:v>-</x:v>
      </x:c>
      <x:c r="I26" s="13" t="str">
        <x:v>Hindi dumadating ang ipinagsumbong sa oras ng hearing.</x:v>
      </x:c>
      <x:c r="J26" s="13" t="str">
        <x:v>Endorsed</x:v>
      </x:c>
      <x:c r="K26" s="13" t="str">
        <x:v>KP_COVERED_AMICABLE</x:v>
      </x:c>
      <x:c r="L26" s="13" t="str">
        <x:v>Eligible for KP screening</x:v>
      </x:c>
      <x:c r="M26" s="13" t="str">
        <x:v>Proceed to barangay conciliation / mediation screening</x:v>
      </x:c>
      <x:c r="N26" s="13" t="str">
        <x:v>Local land/property/boundary or neighbor access dispute suitable for KP screening and conciliation.</x:v>
      </x:c>
      <x:c r="O26" s="13" t="str"/>
      <x:c r="P26" s="13" t="str">
        <x:v>Hindi pagsunod sa pagpapatitulo ng lupa</x:v>
      </x:c>
      <x:c r="Q26" s="13" t="str"/>
      <x:c r="R26" s="13" t="str">
        <x:v>KP CASE PSWT - Sheet1 - KP CASE PSWT - Sheet1.pdf</x:v>
      </x:c>
    </x:row>
    <x:row r="27" ht="36" customHeight="1">
      <x:c r="A27" s="13" t="str">
        <x:v>KP-25-026-PSWT</x:v>
      </x:c>
      <x:c r="B27" s="13" t="str">
        <x:v>physical injury</x:v>
      </x:c>
      <x:c r="C27" s="13" t="str">
        <x:v>Real PDF</x:v>
      </x:c>
      <x:c r="D27" s="13" t="str">
        <x:v>KP-25-026-PSWT</x:v>
      </x:c>
      <x:c r="E27" s="13" t="str">
        <x:v>Criminal</x:v>
      </x:c>
      <x:c r="F27" s="13" t="str">
        <x:v>Pambubugbog</x:v>
      </x:c>
      <x:c r="G27" s="13" t="str">
        <x:v>March 12, 2025</x:v>
      </x:c>
      <x:c r="H27" s="13" t="str">
        <x:v>-</x:v>
      </x:c>
      <x:c r="I27" s="13" t="str">
        <x:v>Nagkaroon ng pagkakasundo humingi ng pasensya ang bawat isa at nangako na hindi na mauulit.</x:v>
      </x:c>
      <x:c r="J27" s="13" t="str">
        <x:v>Settled</x:v>
      </x:c>
      <x:c r="K27" s="13" t="str">
        <x:v>KP_COVERED_AMICABLE</x:v>
      </x:c>
      <x:c r="L27" s="13" t="str">
        <x:v>Eligible for KP screening</x:v>
      </x:c>
      <x:c r="M27" s="13" t="str">
        <x:v>Proceed to barangay conciliation / mediation screening</x:v>
      </x:c>
      <x:c r="N27" s="13" t="str">
        <x:v>Minor physical injury or altercation example; system should still screen severity, weapons, and medical findings.</x:v>
      </x:c>
      <x:c r="O27" s="13" t="str"/>
      <x:c r="P27" s="13" t="str">
        <x:v>Pambubugbog</x:v>
      </x:c>
      <x:c r="Q27" s="13" t="str"/>
      <x:c r="R27" s="13" t="str">
        <x:v>KP CASE PSWT - Sheet1 - KP CASE PSWT - Sheet1.pdf</x:v>
      </x:c>
    </x:row>
    <x:row r="28" ht="36" customHeight="1">
      <x:c r="A28" s="13" t="str">
        <x:v>KP-25-027-PSWT</x:v>
      </x:c>
      <x:c r="B28" s="13" t="str">
        <x:v>outside-KP</x:v>
      </x:c>
      <x:c r="C28" s="13" t="str">
        <x:v>Real PDF</x:v>
      </x:c>
      <x:c r="D28" s="13" t="str">
        <x:v>KP-25-027-PSWT</x:v>
      </x:c>
      <x:c r="E28" s="13" t="str">
        <x:v>Criminal</x:v>
      </x:c>
      <x:c r="F28" s="13" t="str">
        <x:v>Pagsasalita ng masama</x:v>
      </x:c>
      <x:c r="G28" s="13" t="str">
        <x:v>March 13, 2025</x:v>
      </x:c>
      <x:c r="H28" s="13" t="str">
        <x:v>May 6, 2025</x:v>
      </x:c>
      <x:c r="I28" s="13" t="str">
        <x:v>Nagkaroon ng pagkakasundo humingi ng pasensya ang ipinagsumbong at nangako na magbibigay ng P500 monthly hanggang matapos ang halagang P5,000.</x:v>
      </x:c>
      <x:c r="J28" s="13" t="str">
        <x:v>Settled</x:v>
      </x:c>
      <x:c r="K28" s="13" t="str">
        <x:v>NON_KP_REVIEW</x:v>
      </x:c>
      <x:c r="L28" s="13" t="str">
        <x:v>Needs legal/KP eligibility review</x:v>
      </x:c>
      <x:c r="M28" s="13" t="str">
        <x:v>Flag for secretary/lupon review before action</x:v>
      </x:c>
      <x:c r="N28" s="13" t="str">
        <x:v>Does not match the covered example categories or needs non-KP/legal review before conciliation.</x:v>
      </x:c>
      <x:c r="O28" s="13" t="str">
        <x:v>P500; P5,000</x:v>
      </x:c>
      <x:c r="P28" s="13" t="str">
        <x:v>Pagsasalita ng masama</x:v>
      </x:c>
      <x:c r="Q28" s="13" t="str"/>
      <x:c r="R28" s="13" t="str">
        <x:v>KP CASE PSWT - Sheet1 - KP CASE PSWT - Sheet1.pdf</x:v>
      </x:c>
    </x:row>
    <x:row r="29" ht="36" customHeight="1">
      <x:c r="A29" s="13" t="str">
        <x:v>KP-25-028-PSWT</x:v>
      </x:c>
      <x:c r="B29" s="13" t="str">
        <x:v>boundary/property</x:v>
      </x:c>
      <x:c r="C29" s="13" t="str">
        <x:v>Real PDF</x:v>
      </x:c>
      <x:c r="D29" s="13" t="str">
        <x:v>KP-25-028-PSWT</x:v>
      </x:c>
      <x:c r="E29" s="13" t="str">
        <x:v>Civil</x:v>
      </x:c>
      <x:c r="F29" s="13" t="str">
        <x:v>Pagpapa-alis sa mga nangungupahan</x:v>
      </x:c>
      <x:c r="G29" s="13" t="str">
        <x:v>March 18, 2025</x:v>
      </x:c>
      <x:c r="H29" s="13" t="str">
        <x:v>April 28, 2025</x:v>
      </x:c>
      <x:c r="I29" s="13" t="str">
        <x:v>Nagkaroon ng pagkakasundo at binibigyan ng palugit hanggang April 12 at sila ay kusang aalis sa kanilang inuupahan.</x:v>
      </x:c>
      <x:c r="J29" s="13" t="str">
        <x:v>Settled</x:v>
      </x:c>
      <x:c r="K29" s="13" t="str">
        <x:v>KP_COVERED_AMICABLE</x:v>
      </x:c>
      <x:c r="L29" s="13" t="str">
        <x:v>Eligible for KP screening</x:v>
      </x:c>
      <x:c r="M29" s="13" t="str">
        <x:v>Proceed to barangay conciliation / mediation screening</x:v>
      </x:c>
      <x:c r="N29" s="13" t="str">
        <x:v>Local land/property/boundary or neighbor access dispute suitable for KP screening and conciliation.</x:v>
      </x:c>
      <x:c r="O29" s="13" t="str"/>
      <x:c r="P29" s="13" t="str">
        <x:v>Pagpapa-alis sa mga nangungupahan</x:v>
      </x:c>
      <x:c r="Q29" s="13" t="str"/>
      <x:c r="R29" s="13" t="str">
        <x:v>KP CASE PSWT - Sheet1 - KP CASE PSWT - Sheet1.pdf</x:v>
      </x:c>
    </x:row>
    <x:row r="30" ht="36" customHeight="1">
      <x:c r="A30" s="13" t="str">
        <x:v>KP-25-029-PSWT</x:v>
      </x:c>
      <x:c r="B30" s="13" t="str">
        <x:v>debt</x:v>
      </x:c>
      <x:c r="C30" s="13" t="str">
        <x:v>Real PDF</x:v>
      </x:c>
      <x:c r="D30" s="13" t="str">
        <x:v>KP-25-029-PSWT</x:v>
      </x:c>
      <x:c r="E30" s="13" t="str">
        <x:v>Civil</x:v>
      </x:c>
      <x:c r="F30" s="13" t="str">
        <x:v>Paglilinaw sa utang at pagsasalita ng hindi maganda</x:v>
      </x:c>
      <x:c r="G30" s="13" t="str">
        <x:v>March 20, 2025</x:v>
      </x:c>
      <x:c r="H30" s="13" t="str">
        <x:v>March 25, 2025</x:v>
      </x:c>
      <x:c r="I30" s="13" t="str">
        <x:v>Nagkaroon ng pagkakasundo na babayaran ng ipinagsumbong ang utang na nakapangalan sa may sumbong at wala na siyang pananagutan. Ibibigay ng ipinagsumbong ang pambayad sa maysumbong at siya ang maghuhulog.</x:v>
      </x:c>
      <x:c r="J30" s="13" t="str">
        <x:v>Settled</x:v>
      </x:c>
      <x:c r="K30" s="13" t="str">
        <x:v>KP_COVERED_AMICABLE</x:v>
      </x:c>
      <x:c r="L30" s="13" t="str">
        <x:v>Eligible for KP screening</x:v>
      </x:c>
      <x:c r="M30" s="13" t="str">
        <x:v>Proceed to barangay conciliation / mediation screening</x:v>
      </x:c>
      <x:c r="N30" s="13" t="str">
        <x:v>Civil money/property return or small-contract dispute suitable for barangay conciliation if parties meet KP requirements.</x:v>
      </x:c>
      <x:c r="O30" s="13" t="str"/>
      <x:c r="P30" s="13" t="str">
        <x:v>Paglilinaw sa utang at pagsasalita ng hindi maganda</x:v>
      </x:c>
      <x:c r="Q30" s="13" t="str"/>
      <x:c r="R30" s="13" t="str">
        <x:v>KP CASE PSWT - Sheet1 - KP CASE PSWT - Sheet1.pdf</x:v>
      </x:c>
    </x:row>
    <x:row r="31" ht="36" customHeight="1">
      <x:c r="A31" s="13" t="str">
        <x:v>KP-25-030-PSWT</x:v>
      </x:c>
      <x:c r="B31" s="13" t="str">
        <x:v>outside-KP</x:v>
      </x:c>
      <x:c r="C31" s="13" t="str">
        <x:v>Real PDF</x:v>
      </x:c>
      <x:c r="D31" s="13" t="str">
        <x:v>KP-25-030-PSWT</x:v>
      </x:c>
      <x:c r="E31" s="13" t="str">
        <x:v>Criminal</x:v>
      </x:c>
      <x:c r="F31" s="13" t="str">
        <x:v>Paninirang puri</x:v>
      </x:c>
      <x:c r="G31" s="13" t="str">
        <x:v>March 24, 2025</x:v>
      </x:c>
      <x:c r="H31" s="13" t="str">
        <x:v>March 25, 2025</x:v>
      </x:c>
      <x:c r="I31" s="13" t="str">
        <x:v>Nagkaroon ng pagkakasundo at nagkalinawan sa mga isyu.</x:v>
      </x:c>
      <x:c r="J31" s="13" t="str">
        <x:v>Settled</x:v>
      </x:c>
      <x:c r="K31" s="13" t="str">
        <x:v>NON_KP_REVIEW</x:v>
      </x:c>
      <x:c r="L31" s="13" t="str">
        <x:v>Needs legal/KP eligibility review</x:v>
      </x:c>
      <x:c r="M31" s="13" t="str">
        <x:v>Flag for secretary/lupon review before action</x:v>
      </x:c>
      <x:c r="N31" s="13" t="str">
        <x:v>Does not match the covered example categories or needs non-KP/legal review before conciliation.</x:v>
      </x:c>
      <x:c r="O31" s="13" t="str"/>
      <x:c r="P31" s="13" t="str">
        <x:v>Paninirang puri</x:v>
      </x:c>
      <x:c r="Q31" s="13" t="str"/>
      <x:c r="R31" s="13" t="str">
        <x:v>KP CASE PSWT - Sheet1 - KP CASE PSWT - Sheet1.pdf</x:v>
      </x:c>
    </x:row>
    <x:row r="32" ht="36" customHeight="1">
      <x:c r="A32" s="13" t="str">
        <x:v>KP-25-031-PSWT</x:v>
      </x:c>
      <x:c r="B32" s="13" t="str">
        <x:v>boundary/property</x:v>
      </x:c>
      <x:c r="C32" s="13" t="str">
        <x:v>Real PDF</x:v>
      </x:c>
      <x:c r="D32" s="13" t="str">
        <x:v>KP-25-031-PSWT</x:v>
      </x:c>
      <x:c r="E32" s="13" t="str">
        <x:v>Civil</x:v>
      </x:c>
      <x:c r="F32" s="13" t="str">
        <x:v>Paglilinaw sa property</x:v>
      </x:c>
      <x:c r="G32" s="13" t="str">
        <x:v>March 24, 2025</x:v>
      </x:c>
      <x:c r="H32" s="13" t="str">
        <x:v>April 4, 2025</x:v>
      </x:c>
      <x:c r="I32" s="13" t="str">
        <x:v>Nagkaroon ng malinaw sa bawat isa na ang property na gustong linawin ng maysumbong ay wala pang malinaw kung sino talaga ang nagmamay-ari. Ang usapin ay tinatapos na sa araw na ito.</x:v>
      </x:c>
      <x:c r="J32" s="13" t="str">
        <x:v>Settled</x:v>
      </x:c>
      <x:c r="K32" s="13" t="str">
        <x:v>KP_COVERED_AMICABLE</x:v>
      </x:c>
      <x:c r="L32" s="13" t="str">
        <x:v>Eligible for KP screening</x:v>
      </x:c>
      <x:c r="M32" s="13" t="str">
        <x:v>Proceed to barangay conciliation / mediation screening</x:v>
      </x:c>
      <x:c r="N32" s="13" t="str">
        <x:v>Local land/property/boundary or neighbor access dispute suitable for KP screening and conciliation.</x:v>
      </x:c>
      <x:c r="O32" s="13" t="str"/>
      <x:c r="P32" s="13" t="str">
        <x:v>Paglilinaw sa property</x:v>
      </x:c>
      <x:c r="Q32" s="13" t="str"/>
      <x:c r="R32" s="13" t="str">
        <x:v>KP CASE PSWT - Sheet1 - KP CASE PSWT - Sheet1.pdf</x:v>
      </x:c>
    </x:row>
    <x:row r="33" ht="36" customHeight="1">
      <x:c r="A33" s="13" t="str">
        <x:v>KP-25-032-PSWT</x:v>
      </x:c>
      <x:c r="B33" s="13" t="str">
        <x:v>penalty-over-1-year</x:v>
      </x:c>
      <x:c r="C33" s="13" t="str">
        <x:v>Real PDF</x:v>
      </x:c>
      <x:c r="D33" s="13" t="str">
        <x:v>KP-25-032-PSWT</x:v>
      </x:c>
      <x:c r="E33" s="13" t="str">
        <x:v>Criminal</x:v>
      </x:c>
      <x:c r="F33" s="13" t="str">
        <x:v>Pamamasok ng bahay at pagkuha ng halagang P37,000</x:v>
      </x:c>
      <x:c r="G33" s="13" t="str">
        <x:v>March 24, 2025</x:v>
      </x:c>
      <x:c r="H33" s="13" t="str">
        <x:v>-</x:v>
      </x:c>
      <x:c r="I33" s="13" t="str">
        <x:v>Hindi magkausap ng maayos sa dahilang pabago-bago ng sinasabi ang maysumbong.</x:v>
      </x:c>
      <x:c r="J33" s="13" t="str">
        <x:v>Pending</x:v>
      </x:c>
      <x:c r="K33" s="13" t="str">
        <x:v>NON_KP_REFERRAL</x:v>
      </x:c>
      <x:c r="L33" s="13" t="str">
        <x:v>Not KP due to legal threshold or serious offense</x:v>
      </x:c>
      <x:c r="M33" s="13" t="str">
        <x:v>Refer to PNP/prosecutor/court or proper agency</x:v>
      </x:c>
      <x:c r="N33" s="13" t="str">
        <x:v>Nature suggests offense that may exceed KP penalty threshold or requires prosecutor/police/legal review.</x:v>
      </x:c>
      <x:c r="O33" s="13" t="str">
        <x:v>P37,000</x:v>
      </x:c>
      <x:c r="P33" s="13" t="str">
        <x:v>Pamamasok ng bahay at pagkuha ng halagang P37,000</x:v>
      </x:c>
      <x:c r="Q33" s="13" t="str"/>
      <x:c r="R33" s="13" t="str">
        <x:v>KP CASE PSWT - Sheet1 - KP CASE PSWT - Sheet1.pdf</x:v>
      </x:c>
    </x:row>
    <x:row r="34" ht="36" customHeight="1">
      <x:c r="A34" s="13" t="str">
        <x:v>KP-25-033-PSWT</x:v>
      </x:c>
      <x:c r="B34" s="13" t="str">
        <x:v>debt</x:v>
      </x:c>
      <x:c r="C34" s="13" t="str">
        <x:v>Real PDF</x:v>
      </x:c>
      <x:c r="D34" s="13" t="str">
        <x:v>KP-25-033-PSWT</x:v>
      </x:c>
      <x:c r="E34" s="13" t="str">
        <x:v>Civil</x:v>
      </x:c>
      <x:c r="F34" s="13" t="str">
        <x:v>Hindi pagbabayad ng renta</x:v>
      </x:c>
      <x:c r="G34" s="13" t="str">
        <x:v>March 28, 2025</x:v>
      </x:c>
      <x:c r="H34" s="13" t="str">
        <x:v>May 26, 2025</x:v>
      </x:c>
      <x:c r="I34" s="13" t="str">
        <x:v>Nagkaroon ng pagkakasundo at humingi ng pasensya ang ipinagsumbong at nangako na magbibigay siya ng P500 monthly hanggang matapos ang halagang P5,000.</x:v>
      </x:c>
      <x:c r="J34" s="13" t="str">
        <x:v>Settled</x:v>
      </x:c>
      <x:c r="K34" s="13" t="str">
        <x:v>KP_COVERED_AMICABLE</x:v>
      </x:c>
      <x:c r="L34" s="13" t="str">
        <x:v>Eligible for KP screening</x:v>
      </x:c>
      <x:c r="M34" s="13" t="str">
        <x:v>Proceed to barangay conciliation / mediation screening</x:v>
      </x:c>
      <x:c r="N34" s="13" t="str">
        <x:v>Civil money/property return or small-contract dispute suitable for barangay conciliation if parties meet KP requirements.</x:v>
      </x:c>
      <x:c r="O34" s="13" t="str">
        <x:v>P500; P5,000</x:v>
      </x:c>
      <x:c r="P34" s="13" t="str">
        <x:v>Hindi pagbabayad ng renta</x:v>
      </x:c>
      <x:c r="Q34" s="13" t="str"/>
      <x:c r="R34" s="13" t="str">
        <x:v>KP CASE PSWT - Sheet1 - KP CASE PSWT - Sheet1.pdf</x:v>
      </x:c>
    </x:row>
    <x:row r="35" ht="36" customHeight="1">
      <x:c r="A35" s="13" t="str">
        <x:v>KP-25-034-PSWT</x:v>
      </x:c>
      <x:c r="B35" s="13" t="str">
        <x:v>penalty-over-1-year</x:v>
      </x:c>
      <x:c r="C35" s="13" t="str">
        <x:v>Real PDF</x:v>
      </x:c>
      <x:c r="D35" s="13" t="str">
        <x:v>KP-25-034-PSWT</x:v>
      </x:c>
      <x:c r="E35" s="13" t="str">
        <x:v>Criminal</x:v>
      </x:c>
      <x:c r="F35" s="13" t="str">
        <x:v>Pamamasok sa loob ng bahay</x:v>
      </x:c>
      <x:c r="G35" s="13" t="str">
        <x:v>March 28, 2025</x:v>
      </x:c>
      <x:c r="H35" s="13" t="str">
        <x:v>June 2, 2025</x:v>
      </x:c>
      <x:c r="I35" s="13" t="str">
        <x:v>Nagkaroon ng pagkakasundo na magbibigay ng danyos ang ipinagsumbong ng halagang P5, 000. At pakiusap ng maysumbong na huwag ng pupunta sa bahay nila.</x:v>
      </x:c>
      <x:c r="J35" s="13" t="str">
        <x:v>Settled</x:v>
      </x:c>
      <x:c r="K35" s="13" t="str">
        <x:v>NON_KP_REFERRAL</x:v>
      </x:c>
      <x:c r="L35" s="13" t="str">
        <x:v>Not KP due to legal threshold or serious offense</x:v>
      </x:c>
      <x:c r="M35" s="13" t="str">
        <x:v>Refer to PNP/prosecutor/court or proper agency</x:v>
      </x:c>
      <x:c r="N35" s="13" t="str">
        <x:v>Nature suggests offense that may exceed KP penalty threshold or requires prosecutor/police/legal review.</x:v>
      </x:c>
      <x:c r="O35" s="13" t="str">
        <x:v>P5,</x:v>
      </x:c>
      <x:c r="P35" s="13" t="str">
        <x:v>Pamamasok sa loob ng bahay</x:v>
      </x:c>
      <x:c r="Q35" s="13" t="str"/>
      <x:c r="R35" s="13" t="str">
        <x:v>KP CASE PSWT - Sheet1 - KP CASE PSWT - Sheet1.pdf</x:v>
      </x:c>
    </x:row>
    <x:row r="36" ht="36" customHeight="1">
      <x:c r="A36" s="13" t="str">
        <x:v>KP-25-035-PSWT</x:v>
      </x:c>
      <x:c r="B36" s="13" t="str">
        <x:v>physical injury</x:v>
      </x:c>
      <x:c r="C36" s="13" t="str">
        <x:v>Real PDF</x:v>
      </x:c>
      <x:c r="D36" s="13" t="str">
        <x:v>KP-25-035-PSWT</x:v>
      </x:c>
      <x:c r="E36" s="13" t="str">
        <x:v>Criminal</x:v>
      </x:c>
      <x:c r="F36" s="13" t="str">
        <x:v>Panununtok</x:v>
      </x:c>
      <x:c r="G36" s="13" t="str">
        <x:v>March 31, 2025</x:v>
      </x:c>
      <x:c r="H36" s="13" t="str">
        <x:v>April 9, 2025</x:v>
      </x:c>
      <x:c r="I36" s="13" t="str">
        <x:v>Nagkaroon ng pagkakasundo humingi ng pasensya ang ipinagsumbong sa maysumbong at nangako na hindi na mauulit. Tinanggap ng maysumbong ang paghingi ng pasensya ng ipinagsusumbong.</x:v>
      </x:c>
      <x:c r="J36" s="13" t="str">
        <x:v>Settled</x:v>
      </x:c>
      <x:c r="K36" s="13" t="str">
        <x:v>KP_COVERED_AMICABLE</x:v>
      </x:c>
      <x:c r="L36" s="13" t="str">
        <x:v>Eligible for KP screening</x:v>
      </x:c>
      <x:c r="M36" s="13" t="str">
        <x:v>Proceed to barangay conciliation / mediation screening</x:v>
      </x:c>
      <x:c r="N36" s="13" t="str">
        <x:v>Minor physical injury or altercation example; system should still screen severity, weapons, and medical findings.</x:v>
      </x:c>
      <x:c r="O36" s="13" t="str"/>
      <x:c r="P36" s="13" t="str">
        <x:v>Panununtok</x:v>
      </x:c>
      <x:c r="Q36" s="13" t="str"/>
      <x:c r="R36" s="13" t="str">
        <x:v>KP CASE PSWT - Sheet1 - KP CASE PSWT - Sheet1.pdf</x:v>
      </x:c>
    </x:row>
    <x:row r="37" ht="36" customHeight="1">
      <x:c r="A37" s="13" t="str">
        <x:v>KP-25-036-PSWT</x:v>
      </x:c>
      <x:c r="B37" s="13" t="str">
        <x:v>threats</x:v>
      </x:c>
      <x:c r="C37" s="13" t="str">
        <x:v>Real PDF</x:v>
      </x:c>
      <x:c r="D37" s="13" t="str">
        <x:v>KP-25-036-PSWT</x:v>
      </x:c>
      <x:c r="E37" s="13" t="str">
        <x:v>Criminal</x:v>
      </x:c>
      <x:c r="F37" s="13" t="str">
        <x:v>Pambabato at pagbabanta</x:v>
      </x:c>
      <x:c r="G37" s="13" t="str">
        <x:v>April 12, 2025</x:v>
      </x:c>
      <x:c r="H37" s="13" t="str">
        <x:v>-</x:v>
      </x:c>
      <x:c r="I37" s="13" t="str">
        <x:v>Hindi dumadating ang ipinagsumbong sa oras ng hearing.</x:v>
      </x:c>
      <x:c r="J37" s="13" t="str">
        <x:v>Endorsed</x:v>
      </x:c>
      <x:c r="K37" s="13" t="str">
        <x:v>KP_COVERED_AMICABLE</x:v>
      </x:c>
      <x:c r="L37" s="13" t="str">
        <x:v>Eligible for KP screening</x:v>
      </x:c>
      <x:c r="M37" s="13" t="str">
        <x:v>Proceed to barangay conciliation / mediation screening</x:v>
      </x:c>
      <x:c r="N37" s="13" t="str">
        <x:v>Threat/harassment dispute; proceed to KP only if minor and no imminent danger or protected-person issue.</x:v>
      </x:c>
      <x:c r="O37" s="13" t="str"/>
      <x:c r="P37" s="13" t="str">
        <x:v>Pambabato at pagbabanta</x:v>
      </x:c>
      <x:c r="Q37" s="13" t="str"/>
      <x:c r="R37" s="13" t="str">
        <x:v>KP CASE PSWT - Sheet1 - KP CASE PSWT - Sheet1.pdf</x:v>
      </x:c>
    </x:row>
    <x:row r="38" ht="36" customHeight="1">
      <x:c r="A38" s="13" t="str">
        <x:v>KP-25-037-PSWT</x:v>
      </x:c>
      <x:c r="B38" s="13" t="str">
        <x:v>physical injury</x:v>
      </x:c>
      <x:c r="C38" s="13" t="str">
        <x:v>Real PDF</x:v>
      </x:c>
      <x:c r="D38" s="13" t="str">
        <x:v>KP-25-037-PSWT</x:v>
      </x:c>
      <x:c r="E38" s="13" t="str">
        <x:v>Criminal</x:v>
      </x:c>
      <x:c r="F38" s="13" t="str">
        <x:v>Panununtok</x:v>
      </x:c>
      <x:c r="G38" s="13" t="str">
        <x:v>April 17, 2025</x:v>
      </x:c>
      <x:c r="H38" s="13" t="str">
        <x:v>-</x:v>
      </x:c>
      <x:c r="I38" s="13" t="str">
        <x:v>Walang pagkakasundo sa dalawang panig.</x:v>
      </x:c>
      <x:c r="J38" s="13" t="str">
        <x:v>Pending</x:v>
      </x:c>
      <x:c r="K38" s="13" t="str">
        <x:v>KP_COVERED_AMICABLE</x:v>
      </x:c>
      <x:c r="L38" s="13" t="str">
        <x:v>Eligible for KP screening</x:v>
      </x:c>
      <x:c r="M38" s="13" t="str">
        <x:v>Proceed to barangay conciliation / mediation screening</x:v>
      </x:c>
      <x:c r="N38" s="13" t="str">
        <x:v>Minor physical injury or altercation example; system should still screen severity, weapons, and medical findings.</x:v>
      </x:c>
      <x:c r="O38" s="13" t="str"/>
      <x:c r="P38" s="13" t="str">
        <x:v>Panununtok</x:v>
      </x:c>
      <x:c r="Q38" s="13" t="str"/>
      <x:c r="R38" s="13" t="str">
        <x:v>KP CASE PSWT - Sheet1 - KP CASE PSWT - Sheet1.pdf</x:v>
      </x:c>
    </x:row>
    <x:row r="39" ht="36" customHeight="1">
      <x:c r="A39" s="13" t="str">
        <x:v>KP-25-038-PSWT</x:v>
      </x:c>
      <x:c r="B39" s="13" t="str">
        <x:v>penalty-over-1-year</x:v>
      </x:c>
      <x:c r="C39" s="13" t="str">
        <x:v>Real PDF</x:v>
      </x:c>
      <x:c r="D39" s="13" t="str">
        <x:v>KP-25-038-PSWT</x:v>
      </x:c>
      <x:c r="E39" s="13" t="str">
        <x:v>Criminal</x:v>
      </x:c>
      <x:c r="F39" s="13" t="str">
        <x:v>Estafa</x:v>
      </x:c>
      <x:c r="G39" s="13" t="str">
        <x:v>April 29, 2025</x:v>
      </x:c>
      <x:c r="H39" s="13" t="str">
        <x:v>-</x:v>
      </x:c>
      <x:c r="I39" s="13" t="str">
        <x:v>Walang pagkakasundo sa dalawang panig kaya't ang maysumbong ay may karapatan ng maghain ng kaukulang reklamo sa kinauukulang tanggapan.</x:v>
      </x:c>
      <x:c r="J39" s="13" t="str">
        <x:v>Endorsed</x:v>
      </x:c>
      <x:c r="K39" s="13" t="str">
        <x:v>NON_KP_REFERRAL</x:v>
      </x:c>
      <x:c r="L39" s="13" t="str">
        <x:v>Not KP due to legal threshold or serious offense</x:v>
      </x:c>
      <x:c r="M39" s="13" t="str">
        <x:v>Refer to PNP/prosecutor/court or proper agency</x:v>
      </x:c>
      <x:c r="N39" s="13" t="str">
        <x:v>Nature suggests offense that may exceed KP penalty threshold or requires prosecutor/police/legal review.</x:v>
      </x:c>
      <x:c r="O39" s="13" t="str"/>
      <x:c r="P39" s="13" t="str">
        <x:v>Estafa</x:v>
      </x:c>
      <x:c r="Q39" s="13" t="str"/>
      <x:c r="R39" s="13" t="str">
        <x:v>KP CASE PSWT - Sheet1 - KP CASE PSWT - Sheet1.pdf</x:v>
      </x:c>
    </x:row>
    <x:row r="40" ht="36" customHeight="1">
      <x:c r="A40" s="13" t="str">
        <x:v>KP-25-039-PSWT</x:v>
      </x:c>
      <x:c r="B40" s="13" t="str">
        <x:v>VAWC/child abuse</x:v>
      </x:c>
      <x:c r="C40" s="13" t="str">
        <x:v>Real PDF</x:v>
      </x:c>
      <x:c r="D40" s="13" t="str">
        <x:v>KP-25-039-PSWT</x:v>
      </x:c>
      <x:c r="E40" s="13" t="str">
        <x:v>Criminal</x:v>
      </x:c>
      <x:c r="F40" s="13" t="str">
        <x:v>Panghahabol ng aso sa bata</x:v>
      </x:c>
      <x:c r="G40" s="13" t="str">
        <x:v>April 29, 2025</x:v>
      </x:c>
      <x:c r="H40" s="13" t="str">
        <x:v>-</x:v>
      </x:c>
      <x:c r="I40" s="13" t="str">
        <x:v>Walang pagkakasundo sa dalawang panig.</x:v>
      </x:c>
      <x:c r="J40" s="13" t="str">
        <x:v>Pending</x:v>
      </x:c>
      <x:c r="K40" s="13" t="str">
        <x:v>REFER_VAWC_CHILD_PROTECTION</x:v>
      </x:c>
      <x:c r="L40" s="13" t="str">
        <x:v>Not KP; mandatory safety referral screening</x:v>
      </x:c>
      <x:c r="M40" s="13" t="str">
        <x:v>Refer to appropriate authority / protection desk; do not mediate as ordinary KP case</x:v>
      </x:c>
      <x:c r="N40" s="13" t="str">
        <x:v>Nature indicates child/sexual-protection screening; refer for safety/legal assessment.</x:v>
      </x:c>
      <x:c r="O40" s="13" t="str"/>
      <x:c r="P40" s="13" t="str">
        <x:v>Panghahabol ng aso sa bata</x:v>
      </x:c>
      <x:c r="Q40" s="13" t="str"/>
      <x:c r="R40" s="13" t="str">
        <x:v>KP CASE PSWT - Sheet1 - KP CASE PSWT - Sheet1.pdf</x:v>
      </x:c>
    </x:row>
    <x:row r="41" ht="36" customHeight="1">
      <x:c r="A41" s="13" t="str">
        <x:v>KP-25-040-PSWT</x:v>
      </x:c>
      <x:c r="B41" s="13" t="str">
        <x:v>debt</x:v>
      </x:c>
      <x:c r="C41" s="13" t="str">
        <x:v>Real PDF</x:v>
      </x:c>
      <x:c r="D41" s="13" t="str">
        <x:v>KP-25-040-PSWT</x:v>
      </x:c>
      <x:c r="E41" s="13" t="str">
        <x:v>Civil</x:v>
      </x:c>
      <x:c r="F41" s="13" t="str">
        <x:v>Hindi pagtapos sa ipinagawang electrical wiring</x:v>
      </x:c>
      <x:c r="G41" s="13" t="str">
        <x:v>April 29, 2025</x:v>
      </x:c>
      <x:c r="H41" s="13" t="str">
        <x:v>-</x:v>
      </x:c>
      <x:c r="I41" s="13" t="str">
        <x:v>Walang pagkakasundo sa dalawang panig.</x:v>
      </x:c>
      <x:c r="J41" s="13" t="str">
        <x:v>Endorsed</x:v>
      </x:c>
      <x:c r="K41" s="13" t="str">
        <x:v>KP_COVERED_AMICABLE</x:v>
      </x:c>
      <x:c r="L41" s="13" t="str">
        <x:v>Eligible for KP screening</x:v>
      </x:c>
      <x:c r="M41" s="13" t="str">
        <x:v>Proceed to barangay conciliation / mediation screening</x:v>
      </x:c>
      <x:c r="N41" s="13" t="str">
        <x:v>Civil money/property return or small-contract dispute suitable for barangay conciliation if parties meet KP requirements.</x:v>
      </x:c>
      <x:c r="O41" s="13" t="str"/>
      <x:c r="P41" s="13" t="str">
        <x:v>Hindi pagtapos sa ipinagawang electrical wiring</x:v>
      </x:c>
      <x:c r="Q41" s="13" t="str"/>
      <x:c r="R41" s="13" t="str">
        <x:v>KP CASE PSWT - Sheet1 - KP CASE PSWT - Sheet1.pdf</x:v>
      </x:c>
    </x:row>
    <x:row r="42" ht="36" customHeight="1">
      <x:c r="A42" s="13" t="str">
        <x:v>KP-25-041-PSWT</x:v>
      </x:c>
      <x:c r="B42" s="13" t="str">
        <x:v>debt</x:v>
      </x:c>
      <x:c r="C42" s="13" t="str">
        <x:v>Real PDF</x:v>
      </x:c>
      <x:c r="D42" s="13" t="str">
        <x:v>KP-25-041-PSWT</x:v>
      </x:c>
      <x:c r="E42" s="13" t="str">
        <x:v>Civil</x:v>
      </x:c>
      <x:c r="F42" s="13" t="str">
        <x:v>Hindi pagsauli ng pera</x:v>
      </x:c>
      <x:c r="G42" s="13" t="str">
        <x:v>May 5, 2025</x:v>
      </x:c>
      <x:c r="H42" s="13" t="str">
        <x:v>May 21, 2025</x:v>
      </x:c>
      <x:c r="I42" s="13" t="str">
        <x:v>Nagkaroon ng pagkakasundo. Magbibigay ang ipinagsumbong ng 2,000 at magbibigay ulit ng 2,000 sa June 5.</x:v>
      </x:c>
      <x:c r="J42" s="13" t="str">
        <x:v>Settled</x:v>
      </x:c>
      <x:c r="K42" s="13" t="str">
        <x:v>KP_COVERED_AMICABLE</x:v>
      </x:c>
      <x:c r="L42" s="13" t="str">
        <x:v>Eligible for KP screening</x:v>
      </x:c>
      <x:c r="M42" s="13" t="str">
        <x:v>Proceed to barangay conciliation / mediation screening</x:v>
      </x:c>
      <x:c r="N42" s="13" t="str">
        <x:v>Civil money/property return or small-contract dispute suitable for barangay conciliation if parties meet KP requirements.</x:v>
      </x:c>
      <x:c r="O42" s="13" t="str">
        <x:v>2,000; 2,000</x:v>
      </x:c>
      <x:c r="P42" s="13" t="str">
        <x:v>Hindi pagsauli ng pera</x:v>
      </x:c>
      <x:c r="Q42" s="13" t="str"/>
      <x:c r="R42" s="13" t="str">
        <x:v>KP CASE PSWT - Sheet1 - KP CASE PSWT - Sheet1.pdf</x:v>
      </x:c>
    </x:row>
    <x:row r="43" ht="36" customHeight="1">
      <x:c r="A43" s="13" t="str">
        <x:v>KP-25-042-PSWT</x:v>
      </x:c>
      <x:c r="B43" s="13" t="str">
        <x:v>debt</x:v>
      </x:c>
      <x:c r="C43" s="13" t="str">
        <x:v>Real PDF</x:v>
      </x:c>
      <x:c r="D43" s="13" t="str">
        <x:v>KP-25-042-PSWT</x:v>
      </x:c>
      <x:c r="E43" s="13" t="str">
        <x:v>Civil</x:v>
      </x:c>
      <x:c r="F43" s="13" t="str">
        <x:v>Hindi pagbayayad ng utang</x:v>
      </x:c>
      <x:c r="G43" s="13" t="str">
        <x:v>May 13, 2025</x:v>
      </x:c>
      <x:c r="H43" s="13" t="str">
        <x:v>May 21, 2025</x:v>
      </x:c>
      <x:c r="I43" s="13" t="str">
        <x:v>Nagkaroon ng pagkakasundo na magbibigay ang ipinagsumbong ng 1,200 sa June, 1,800 sa June 15 at 1,800 sa June 30, 2025.</x:v>
      </x:c>
      <x:c r="J43" s="13" t="str">
        <x:v>Settled</x:v>
      </x:c>
      <x:c r="K43" s="13" t="str">
        <x:v>KP_COVERED_AMICABLE</x:v>
      </x:c>
      <x:c r="L43" s="13" t="str">
        <x:v>Eligible for KP screening</x:v>
      </x:c>
      <x:c r="M43" s="13" t="str">
        <x:v>Proceed to barangay conciliation / mediation screening</x:v>
      </x:c>
      <x:c r="N43" s="13" t="str">
        <x:v>Civil money/property return or small-contract dispute suitable for barangay conciliation if parties meet KP requirements.</x:v>
      </x:c>
      <x:c r="O43" s="13" t="str">
        <x:v>1,200; 1,800; 1,800</x:v>
      </x:c>
      <x:c r="P43" s="13" t="str">
        <x:v>Hindi pagbayayad ng utang</x:v>
      </x:c>
      <x:c r="Q43" s="13" t="str"/>
      <x:c r="R43" s="13" t="str">
        <x:v>KP CASE PSWT - Sheet1 - KP CASE PSWT - Sheet1.pdf</x:v>
      </x:c>
    </x:row>
    <x:row r="44" ht="36" customHeight="1">
      <x:c r="A44" s="13" t="str">
        <x:v>KP-25-043-PSWT</x:v>
      </x:c>
      <x:c r="B44" s="13" t="str">
        <x:v>debt</x:v>
      </x:c>
      <x:c r="C44" s="13" t="str">
        <x:v>Real PDF</x:v>
      </x:c>
      <x:c r="D44" s="13" t="str">
        <x:v>KP-25-043-PSWT</x:v>
      </x:c>
      <x:c r="E44" s="13" t="str">
        <x:v>Civil</x:v>
      </x:c>
      <x:c r="F44" s="13" t="str">
        <x:v>Hindi pagbabayad ng renta ng bahay</x:v>
      </x:c>
      <x:c r="G44" s="13" t="str">
        <x:v>May 19, 2025</x:v>
      </x:c>
      <x:c r="H44" s="13" t="str">
        <x:v>May 30, 2025</x:v>
      </x:c>
      <x:c r="I44" s="13" t="str">
        <x:v>Nagkaroon ng pagkakasundo na magbibigay ng P3,000 bayad sa tubig at ilaw. Binibigyan sila ng palugit hanggang JUne 14, 2025 para umalis sa inuupahan. Ang bayad sa bahay ay babayaran ng 2,000 buwan buwan hanggang matapos ang halagang P10,000.</x:v>
      </x:c>
      <x:c r="J44" s="13" t="str">
        <x:v>Settled</x:v>
      </x:c>
      <x:c r="K44" s="13" t="str">
        <x:v>KP_COVERED_AMICABLE</x:v>
      </x:c>
      <x:c r="L44" s="13" t="str">
        <x:v>Eligible for KP screening</x:v>
      </x:c>
      <x:c r="M44" s="13" t="str">
        <x:v>Proceed to barangay conciliation / mediation screening</x:v>
      </x:c>
      <x:c r="N44" s="13" t="str">
        <x:v>Civil money/property return or small-contract dispute suitable for barangay conciliation if parties meet KP requirements.</x:v>
      </x:c>
      <x:c r="O44" s="13" t="str">
        <x:v>P3,000; 2,000; P10,000</x:v>
      </x:c>
      <x:c r="P44" s="13" t="str">
        <x:v>Hindi pagbabayad ng renta ng bahay</x:v>
      </x:c>
      <x:c r="Q44" s="13" t="str"/>
      <x:c r="R44" s="13" t="str">
        <x:v>KP CASE PSWT - Sheet1 - KP CASE PSWT - Sheet1.pdf</x:v>
      </x:c>
    </x:row>
    <x:row r="45" ht="36" customHeight="1">
      <x:c r="A45" s="13" t="str">
        <x:v>KP-25-044-PSWT</x:v>
      </x:c>
      <x:c r="B45" s="13" t="str">
        <x:v>debt</x:v>
      </x:c>
      <x:c r="C45" s="13" t="str">
        <x:v>Real PDF</x:v>
      </x:c>
      <x:c r="D45" s="13" t="str">
        <x:v>KP-25-044-PSWT</x:v>
      </x:c>
      <x:c r="E45" s="13" t="str">
        <x:v>Civil</x:v>
      </x:c>
      <x:c r="F45" s="13" t="str">
        <x:v>Paglilinaw sa utang</x:v>
      </x:c>
      <x:c r="G45" s="13" t="str">
        <x:v>May 20, 2025</x:v>
      </x:c>
      <x:c r="H45" s="13" t="str">
        <x:v>May 23, 2025</x:v>
      </x:c>
      <x:c r="I45" s="13" t="str">
        <x:v>Nagkaroon ng pagkakasundo. Nangako ang ipinagsumbong na maghuhulog sila ng P5,000 buwan buwan na nagkakahalaga ng P150,000 at huhulugan sa loob ng 30 months.</x:v>
      </x:c>
      <x:c r="J45" s="13" t="str">
        <x:v>Settled</x:v>
      </x:c>
      <x:c r="K45" s="13" t="str">
        <x:v>KP_COVERED_AMICABLE</x:v>
      </x:c>
      <x:c r="L45" s="13" t="str">
        <x:v>Eligible for KP screening</x:v>
      </x:c>
      <x:c r="M45" s="13" t="str">
        <x:v>Proceed to barangay conciliation / mediation screening</x:v>
      </x:c>
      <x:c r="N45" s="13" t="str">
        <x:v>Civil money/property return or small-contract dispute suitable for barangay conciliation if parties meet KP requirements.</x:v>
      </x:c>
      <x:c r="O45" s="13" t="str">
        <x:v>P5,000; P150,000</x:v>
      </x:c>
      <x:c r="P45" s="13" t="str">
        <x:v>Paglilinaw sa utang</x:v>
      </x:c>
      <x:c r="Q45" s="13" t="str"/>
      <x:c r="R45" s="13" t="str">
        <x:v>KP CASE PSWT - Sheet1 - KP CASE PSWT - Sheet1.pdf</x:v>
      </x:c>
    </x:row>
    <x:row r="46" ht="36" customHeight="1">
      <x:c r="A46" s="13" t="str">
        <x:v>KP-25-045-PSWT</x:v>
      </x:c>
      <x:c r="B46" s="13" t="str">
        <x:v>debt</x:v>
      </x:c>
      <x:c r="C46" s="13" t="str">
        <x:v>Real PDF</x:v>
      </x:c>
      <x:c r="D46" s="13" t="str">
        <x:v>KP-25-045-PSWT</x:v>
      </x:c>
      <x:c r="E46" s="13" t="str">
        <x:v>Civil</x:v>
      </x:c>
      <x:c r="F46" s="13" t="str">
        <x:v>Paglilinaw sa utang</x:v>
      </x:c>
      <x:c r="G46" s="13" t="str">
        <x:v>May 22, 2025</x:v>
      </x:c>
      <x:c r="H46" s="13" t="str">
        <x:v>June 17, 2025</x:v>
      </x:c>
      <x:c r="I46" s="13" t="str">
        <x:v>Nagkaroon ng pagkakasundo na ang ipinagsumbong ay maghuhulog tuwing 15 at 30 ng buwan ng 500.</x:v>
      </x:c>
      <x:c r="J46" s="13" t="str">
        <x:v>Settled</x:v>
      </x:c>
      <x:c r="K46" s="13" t="str">
        <x:v>KP_COVERED_AMICABLE</x:v>
      </x:c>
      <x:c r="L46" s="13" t="str">
        <x:v>Eligible for KP screening</x:v>
      </x:c>
      <x:c r="M46" s="13" t="str">
        <x:v>Proceed to barangay conciliation / mediation screening</x:v>
      </x:c>
      <x:c r="N46" s="13" t="str">
        <x:v>Civil money/property return or small-contract dispute suitable for barangay conciliation if parties meet KP requirements.</x:v>
      </x:c>
      <x:c r="O46" s="13" t="str"/>
      <x:c r="P46" s="13" t="str">
        <x:v>Paglilinaw sa utang</x:v>
      </x:c>
      <x:c r="Q46" s="13" t="str"/>
      <x:c r="R46" s="13" t="str">
        <x:v>KP CASE PSWT - Sheet1 - KP CASE PSWT - Sheet1.pdf</x:v>
      </x:c>
    </x:row>
    <x:row r="47" ht="36" customHeight="1">
      <x:c r="A47" s="13" t="str">
        <x:v>KP-25-046-PSWT</x:v>
      </x:c>
      <x:c r="B47" s="13" t="str">
        <x:v>boundary/property</x:v>
      </x:c>
      <x:c r="C47" s="13" t="str">
        <x:v>Real PDF</x:v>
      </x:c>
      <x:c r="D47" s="13" t="str">
        <x:v>KP-25-046-PSWT</x:v>
      </x:c>
      <x:c r="E47" s="13" t="str">
        <x:v>Civil</x:v>
      </x:c>
      <x:c r="F47" s="13" t="str">
        <x:v>Paglilinaw sa daan</x:v>
      </x:c>
      <x:c r="G47" s="13" t="str">
        <x:v>May 26, 2025</x:v>
      </x:c>
      <x:c r="H47" s="13" t="str">
        <x:v>May 30, 2025</x:v>
      </x:c>
      <x:c r="I47" s="13" t="str">
        <x:v>Nagkaroon ng pagkakasundo, humingi ng pasensya ang ipinagsumbong sa maysumbong at nangako na isasara na niya ang gate.</x:v>
      </x:c>
      <x:c r="J47" s="13" t="str">
        <x:v>Settled</x:v>
      </x:c>
      <x:c r="K47" s="13" t="str">
        <x:v>KP_COVERED_AMICABLE</x:v>
      </x:c>
      <x:c r="L47" s="13" t="str">
        <x:v>Eligible for KP screening</x:v>
      </x:c>
      <x:c r="M47" s="13" t="str">
        <x:v>Proceed to barangay conciliation / mediation screening</x:v>
      </x:c>
      <x:c r="N47" s="13" t="str">
        <x:v>Local land/property/boundary or neighbor access dispute suitable for KP screening and conciliation.</x:v>
      </x:c>
      <x:c r="O47" s="13" t="str"/>
      <x:c r="P47" s="13" t="str">
        <x:v>Paglilinaw sa daan</x:v>
      </x:c>
      <x:c r="Q47" s="13" t="str"/>
      <x:c r="R47" s="13" t="str">
        <x:v>KP CASE PSWT - Sheet1 - KP CASE PSWT - Sheet1.pdf</x:v>
      </x:c>
    </x:row>
    <x:row r="48" ht="36" customHeight="1">
      <x:c r="A48" s="13" t="str">
        <x:v>KP-25-047-PSWT</x:v>
      </x:c>
      <x:c r="B48" s="13" t="str">
        <x:v>debt</x:v>
      </x:c>
      <x:c r="C48" s="13" t="str">
        <x:v>Real PDF</x:v>
      </x:c>
      <x:c r="D48" s="13" t="str">
        <x:v>KP-25-047-PSWT</x:v>
      </x:c>
      <x:c r="E48" s="13" t="str">
        <x:v>Civil</x:v>
      </x:c>
      <x:c r="F48" s="13" t="str">
        <x:v>Hindi pagbabayad sa utang</x:v>
      </x:c>
      <x:c r="G48" s="13" t="str">
        <x:v>May 30, 2025</x:v>
      </x:c>
      <x:c r="H48" s="13" t="str">
        <x:v>June 3, 2025</x:v>
      </x:c>
      <x:c r="I48" s="13" t="str">
        <x:v>Nagkaroon ng pagkakaunawaaan na sila ay maghuhulog ng kanilang pagkakautang. At ang pananagutan ng pagkakautang ng mga taong nagamit ay ang ipinagsumbong ang magbabayad, P800 araw-araw.</x:v>
      </x:c>
      <x:c r="J48" s="13" t="str">
        <x:v>Settled</x:v>
      </x:c>
      <x:c r="K48" s="13" t="str">
        <x:v>KP_COVERED_AMICABLE</x:v>
      </x:c>
      <x:c r="L48" s="13" t="str">
        <x:v>Eligible for KP screening</x:v>
      </x:c>
      <x:c r="M48" s="13" t="str">
        <x:v>Proceed to barangay conciliation / mediation screening</x:v>
      </x:c>
      <x:c r="N48" s="13" t="str">
        <x:v>Civil money/property return or small-contract dispute suitable for barangay conciliation if parties meet KP requirements.</x:v>
      </x:c>
      <x:c r="O48" s="13" t="str">
        <x:v>P800</x:v>
      </x:c>
      <x:c r="P48" s="13" t="str">
        <x:v>Hindi pagbabayad sa utang</x:v>
      </x:c>
      <x:c r="Q48" s="13" t="str"/>
      <x:c r="R48" s="13" t="str">
        <x:v>KP CASE PSWT - Sheet1 - KP CASE PSWT - Sheet1.pdf</x:v>
      </x:c>
    </x:row>
    <x:row r="49" ht="36" customHeight="1">
      <x:c r="A49" s="13" t="str">
        <x:v>KP-25-048-PSWT</x:v>
      </x:c>
      <x:c r="B49" s="13" t="str">
        <x:v>debt</x:v>
      </x:c>
      <x:c r="C49" s="13" t="str">
        <x:v>Real PDF</x:v>
      </x:c>
      <x:c r="D49" s="13" t="str">
        <x:v>KP-25-048-PSWT</x:v>
      </x:c>
      <x:c r="E49" s="13" t="str">
        <x:v>Civil</x:v>
      </x:c>
      <x:c r="F49" s="13" t="str">
        <x:v>Hindi pagsasauli ng cellphone</x:v>
      </x:c>
      <x:c r="G49" s="13" t="str">
        <x:v>June 2, 2025</x:v>
      </x:c>
      <x:c r="H49" s="13" t="str">
        <x:v>-</x:v>
      </x:c>
      <x:c r="I49" s="13" t="str">
        <x:v>Walang pagkakasundo sa dalawang panig.</x:v>
      </x:c>
      <x:c r="J49" s="13" t="str">
        <x:v>Pending</x:v>
      </x:c>
      <x:c r="K49" s="13" t="str">
        <x:v>KP_COVERED_AMICABLE</x:v>
      </x:c>
      <x:c r="L49" s="13" t="str">
        <x:v>Eligible for KP screening</x:v>
      </x:c>
      <x:c r="M49" s="13" t="str">
        <x:v>Proceed to barangay conciliation / mediation screening</x:v>
      </x:c>
      <x:c r="N49" s="13" t="str">
        <x:v>Civil money/property return or small-contract dispute suitable for barangay conciliation if parties meet KP requirements.</x:v>
      </x:c>
      <x:c r="O49" s="13" t="str"/>
      <x:c r="P49" s="13" t="str">
        <x:v>Hindi pagsasauli ng cellphone</x:v>
      </x:c>
      <x:c r="Q49" s="13" t="str"/>
      <x:c r="R49" s="13" t="str">
        <x:v>KP CASE PSWT - Sheet1 - KP CASE PSWT - Sheet1.pdf</x:v>
      </x:c>
    </x:row>
    <x:row r="50" ht="36" customHeight="1">
      <x:c r="A50" s="13" t="str">
        <x:v>KP-25-049-PSWT</x:v>
      </x:c>
      <x:c r="B50" s="13" t="str">
        <x:v>debt</x:v>
      </x:c>
      <x:c r="C50" s="13" t="str">
        <x:v>Real PDF</x:v>
      </x:c>
      <x:c r="D50" s="13" t="str">
        <x:v>KP-25-049-PSWT</x:v>
      </x:c>
      <x:c r="E50" s="13" t="str">
        <x:v>Civil</x:v>
      </x:c>
      <x:c r="F50" s="13" t="str">
        <x:v>Hindi pagbabayad sa utang</x:v>
      </x:c>
      <x:c r="G50" s="13" t="str">
        <x:v>June 9, 2025</x:v>
      </x:c>
      <x:c r="H50" s="13" t="str">
        <x:v>June 26, 2025</x:v>
      </x:c>
      <x:c r="I50" s="13" t="str">
        <x:v>Nagkaroon ng pagkakasundo at nanngako ang ipinagsumbong na magbibigay ng P1,000 tuwing 22 at 26 ng buwan hanggang matapos ang P8,000.</x:v>
      </x:c>
      <x:c r="J50" s="13" t="str">
        <x:v>Settled</x:v>
      </x:c>
      <x:c r="K50" s="13" t="str">
        <x:v>KP_COVERED_AMICABLE</x:v>
      </x:c>
      <x:c r="L50" s="13" t="str">
        <x:v>Eligible for KP screening</x:v>
      </x:c>
      <x:c r="M50" s="13" t="str">
        <x:v>Proceed to barangay conciliation / mediation screening</x:v>
      </x:c>
      <x:c r="N50" s="13" t="str">
        <x:v>Civil money/property return or small-contract dispute suitable for barangay conciliation if parties meet KP requirements.</x:v>
      </x:c>
      <x:c r="O50" s="13" t="str">
        <x:v>P1,000; P8,000</x:v>
      </x:c>
      <x:c r="P50" s="13" t="str">
        <x:v>Hindi pagbabayad sa utang</x:v>
      </x:c>
      <x:c r="Q50" s="13" t="str"/>
      <x:c r="R50" s="13" t="str">
        <x:v>KP CASE PSWT - Sheet1 - KP CASE PSWT - Sheet1.pdf</x:v>
      </x:c>
    </x:row>
    <x:row r="51" ht="36" customHeight="1">
      <x:c r="A51" s="13" t="str">
        <x:v>KP-25-050-PSWT</x:v>
      </x:c>
      <x:c r="B51" s="13" t="str">
        <x:v>debt</x:v>
      </x:c>
      <x:c r="C51" s="13" t="str">
        <x:v>Real PDF</x:v>
      </x:c>
      <x:c r="D51" s="13" t="str">
        <x:v>KP-25-050-PSWT</x:v>
      </x:c>
      <x:c r="E51" s="13" t="str">
        <x:v>Civil</x:v>
      </x:c>
      <x:c r="F51" s="13" t="str">
        <x:v>Paglilinaw sa hindi pagbabayad ng utang</x:v>
      </x:c>
      <x:c r="G51" s="13" t="str">
        <x:v>June 10, 2025</x:v>
      </x:c>
      <x:c r="H51" s="13" t="str">
        <x:v>June 13, 2025</x:v>
      </x:c>
      <x:c r="I51" s="13" t="str">
        <x:v>Nagkaroon ng pagkakasundo at nangako ang ipinagsumbong na maghuhulog ng P3,000 weekly tuwing araw ng Sabado simula September 2025 hanggang matapos ang halagang P302, 325.</x:v>
      </x:c>
      <x:c r="J51" s="13" t="str">
        <x:v>Settled</x:v>
      </x:c>
      <x:c r="K51" s="13" t="str">
        <x:v>KP_COVERED_AMICABLE</x:v>
      </x:c>
      <x:c r="L51" s="13" t="str">
        <x:v>Eligible for KP screening</x:v>
      </x:c>
      <x:c r="M51" s="13" t="str">
        <x:v>Proceed to barangay conciliation / mediation screening</x:v>
      </x:c>
      <x:c r="N51" s="13" t="str">
        <x:v>Civil money/property return or small-contract dispute suitable for barangay conciliation if parties meet KP requirements.</x:v>
      </x:c>
      <x:c r="O51" s="13" t="str">
        <x:v>P3,000; P302,</x:v>
      </x:c>
      <x:c r="P51" s="13" t="str">
        <x:v>Paglilinaw sa hindi pagbabayad ng utang</x:v>
      </x:c>
      <x:c r="Q51" s="13" t="str"/>
      <x:c r="R51" s="13" t="str">
        <x:v>KP CASE PSWT - Sheet1 - KP CASE PSWT - Sheet1.pdf</x:v>
      </x:c>
    </x:row>
    <x:row r="52" ht="36" customHeight="1">
      <x:c r="A52" s="13" t="str">
        <x:v>KP-25-051-PSWT</x:v>
      </x:c>
      <x:c r="B52" s="13" t="str">
        <x:v>outside-KP</x:v>
      </x:c>
      <x:c r="C52" s="13" t="str">
        <x:v>Real PDF</x:v>
      </x:c>
      <x:c r="D52" s="13" t="str">
        <x:v>KP-25-051-PSWT</x:v>
      </x:c>
      <x:c r="E52" s="13" t="str">
        <x:v>Criminal</x:v>
      </x:c>
      <x:c r="F52" s="13" t="str">
        <x:v>Paninirang puri</x:v>
      </x:c>
      <x:c r="G52" s="13" t="str">
        <x:v>June 12, 2025</x:v>
      </x:c>
      <x:c r="H52" s="13" t="str">
        <x:v>-</x:v>
      </x:c>
      <x:c r="I52" s="13" t="str">
        <x:v>Walang pagkakasundo sa dalawang panig.</x:v>
      </x:c>
      <x:c r="J52" s="13" t="str">
        <x:v>Endorsed</x:v>
      </x:c>
      <x:c r="K52" s="13" t="str">
        <x:v>NON_KP_REVIEW</x:v>
      </x:c>
      <x:c r="L52" s="13" t="str">
        <x:v>Needs legal/KP eligibility review</x:v>
      </x:c>
      <x:c r="M52" s="13" t="str">
        <x:v>Flag for secretary/lupon review before action</x:v>
      </x:c>
      <x:c r="N52" s="13" t="str">
        <x:v>Does not match the covered example categories or needs non-KP/legal review before conciliation.</x:v>
      </x:c>
      <x:c r="O52" s="13" t="str"/>
      <x:c r="P52" s="13" t="str">
        <x:v>Paninirang puri</x:v>
      </x:c>
      <x:c r="Q52" s="13" t="str"/>
      <x:c r="R52" s="13" t="str">
        <x:v>KP CASE PSWT - Sheet1 - KP CASE PSWT - Sheet1.pdf</x:v>
      </x:c>
    </x:row>
    <x:row r="53" ht="36" customHeight="1">
      <x:c r="A53" s="13" t="str">
        <x:v>KP-25-052-PSWT</x:v>
      </x:c>
      <x:c r="B53" s="13" t="str">
        <x:v>debt</x:v>
      </x:c>
      <x:c r="C53" s="13" t="str">
        <x:v>Real PDF</x:v>
      </x:c>
      <x:c r="D53" s="13" t="str">
        <x:v>KP-25-052-PSWT</x:v>
      </x:c>
      <x:c r="E53" s="13" t="str">
        <x:v>Civil</x:v>
      </x:c>
      <x:c r="F53" s="13" t="str">
        <x:v>Paglilinaw sa biniling motor</x:v>
      </x:c>
      <x:c r="G53" s="13" t="str">
        <x:v>May 13, 2025</x:v>
      </x:c>
      <x:c r="H53" s="13" t="str">
        <x:v>-</x:v>
      </x:c>
      <x:c r="I53" s="13" t="str">
        <x:v>Walang pagkakasundo sa dalawang panig.</x:v>
      </x:c>
      <x:c r="J53" s="13" t="str">
        <x:v>Endorsed</x:v>
      </x:c>
      <x:c r="K53" s="13" t="str">
        <x:v>KP_COVERED_AMICABLE</x:v>
      </x:c>
      <x:c r="L53" s="13" t="str">
        <x:v>Eligible for KP screening</x:v>
      </x:c>
      <x:c r="M53" s="13" t="str">
        <x:v>Proceed to barangay conciliation / mediation screening</x:v>
      </x:c>
      <x:c r="N53" s="13" t="str">
        <x:v>Civil money/property return or small-contract dispute suitable for barangay conciliation if parties meet KP requirements.</x:v>
      </x:c>
      <x:c r="O53" s="13" t="str"/>
      <x:c r="P53" s="13" t="str">
        <x:v>Paglilinaw sa biniling motor</x:v>
      </x:c>
      <x:c r="Q53" s="13" t="str"/>
      <x:c r="R53" s="13" t="str">
        <x:v>KP CASE PSWT - Sheet1 - KP CASE PSWT - Sheet1.pdf</x:v>
      </x:c>
    </x:row>
    <x:row r="54" ht="36" customHeight="1">
      <x:c r="A54" s="13" t="str">
        <x:v>KP-25-053-PSWT</x:v>
      </x:c>
      <x:c r="B54" s="13" t="str">
        <x:v>debt</x:v>
      </x:c>
      <x:c r="C54" s="13" t="str">
        <x:v>Real PDF</x:v>
      </x:c>
      <x:c r="D54" s="13" t="str">
        <x:v>KP-25-053-PSWT</x:v>
      </x:c>
      <x:c r="E54" s="13" t="str">
        <x:v>Civil</x:v>
      </x:c>
      <x:c r="F54" s="13" t="str">
        <x:v>Paglilinaw sa utang</x:v>
      </x:c>
      <x:c r="G54" s="13" t="str">
        <x:v>June 13, 2025</x:v>
      </x:c>
      <x:c r="H54" s="13" t="str">
        <x:v>October 29, 2025</x:v>
      </x:c>
      <x:c r="I54" s="13" t="str">
        <x:v>Nangako ang ipinagsumbong na maghuhulog tuwing sweldo ng P5,000 hanggang matapos ang P15,000.</x:v>
      </x:c>
      <x:c r="J54" s="13" t="str">
        <x:v>Settled</x:v>
      </x:c>
      <x:c r="K54" s="13" t="str">
        <x:v>KP_COVERED_AMICABLE</x:v>
      </x:c>
      <x:c r="L54" s="13" t="str">
        <x:v>Eligible for KP screening</x:v>
      </x:c>
      <x:c r="M54" s="13" t="str">
        <x:v>Proceed to barangay conciliation / mediation screening</x:v>
      </x:c>
      <x:c r="N54" s="13" t="str">
        <x:v>Civil money/property return or small-contract dispute suitable for barangay conciliation if parties meet KP requirements.</x:v>
      </x:c>
      <x:c r="O54" s="13" t="str">
        <x:v>P5,000; P15,000</x:v>
      </x:c>
      <x:c r="P54" s="13" t="str">
        <x:v>Paglilinaw sa utang</x:v>
      </x:c>
      <x:c r="Q54" s="13" t="str"/>
      <x:c r="R54" s="13" t="str">
        <x:v>KP CASE PSWT - Sheet1 - KP CASE PSWT - Sheet1.pdf</x:v>
      </x:c>
    </x:row>
    <x:row r="55" ht="36" customHeight="1">
      <x:c r="A55" s="13" t="str">
        <x:v>KP-25-054-PSWT</x:v>
      </x:c>
      <x:c r="B55" s="13" t="str">
        <x:v>penalty-over-1-year</x:v>
      </x:c>
      <x:c r="C55" s="13" t="str">
        <x:v>Real PDF</x:v>
      </x:c>
      <x:c r="D55" s="13" t="str">
        <x:v>KP-25-054-PSWT</x:v>
      </x:c>
      <x:c r="E55" s="13" t="str">
        <x:v>Criminal</x:v>
      </x:c>
      <x:c r="F55" s="13" t="str">
        <x:v>Tangkang pagnanakaw</x:v>
      </x:c>
      <x:c r="G55" s="13" t="str">
        <x:v>June 13, 2025</x:v>
      </x:c>
      <x:c r="H55" s="13" t="str">
        <x:v>-</x:v>
      </x:c>
      <x:c r="I55" s="13" t="str">
        <x:v>Walang pagkakasundo at hindi na dumating ang maysumbong.</x:v>
      </x:c>
      <x:c r="J55" s="13" t="str">
        <x:v>Dismiss</x:v>
      </x:c>
      <x:c r="K55" s="13" t="str">
        <x:v>NON_KP_REFERRAL</x:v>
      </x:c>
      <x:c r="L55" s="13" t="str">
        <x:v>Not KP due to legal threshold or serious offense</x:v>
      </x:c>
      <x:c r="M55" s="13" t="str">
        <x:v>Refer to PNP/prosecutor/court or proper agency</x:v>
      </x:c>
      <x:c r="N55" s="13" t="str">
        <x:v>Nature suggests offense that may exceed KP penalty threshold or requires prosecutor/police/legal review.</x:v>
      </x:c>
      <x:c r="O55" s="13" t="str"/>
      <x:c r="P55" s="13" t="str">
        <x:v>Tangkang pagnanakaw</x:v>
      </x:c>
      <x:c r="Q55" s="13" t="str"/>
      <x:c r="R55" s="13" t="str">
        <x:v>KP CASE PSWT - Sheet1 - KP CASE PSWT - Sheet1.pdf</x:v>
      </x:c>
    </x:row>
    <x:row r="56" ht="36" customHeight="1">
      <x:c r="A56" s="13" t="str">
        <x:v>KP-25-055-PSWT</x:v>
      </x:c>
      <x:c r="B56" s="13" t="str">
        <x:v>boundary/property</x:v>
      </x:c>
      <x:c r="C56" s="13" t="str">
        <x:v>Real PDF</x:v>
      </x:c>
      <x:c r="D56" s="13" t="str">
        <x:v>KP-25-055-PSWT</x:v>
      </x:c>
      <x:c r="E56" s="13" t="str">
        <x:v>Civil</x:v>
      </x:c>
      <x:c r="F56" s="13" t="str">
        <x:v>Paglilinaw sa edging at high speed machine</x:v>
      </x:c>
      <x:c r="G56" s="13" t="str">
        <x:v>June 16, 2025</x:v>
      </x:c>
      <x:c r="H56" s="13" t="str">
        <x:v>-</x:v>
      </x:c>
      <x:c r="I56" s="13" t="str">
        <x:v>Hindi bumalik ang maysumbong sa pangatlong paghaharap.</x:v>
      </x:c>
      <x:c r="J56" s="13" t="str">
        <x:v>Dismiss</x:v>
      </x:c>
      <x:c r="K56" s="13" t="str">
        <x:v>KP_COVERED_AMICABLE</x:v>
      </x:c>
      <x:c r="L56" s="13" t="str">
        <x:v>Eligible for KP screening</x:v>
      </x:c>
      <x:c r="M56" s="13" t="str">
        <x:v>Proceed to barangay conciliation / mediation screening</x:v>
      </x:c>
      <x:c r="N56" s="13" t="str">
        <x:v>Local land/property/boundary or neighbor access dispute suitable for KP screening and conciliation.</x:v>
      </x:c>
      <x:c r="O56" s="13" t="str"/>
      <x:c r="P56" s="13" t="str">
        <x:v>Paglilinaw sa edging at high speed machine</x:v>
      </x:c>
      <x:c r="Q56" s="13" t="str"/>
      <x:c r="R56" s="13" t="str">
        <x:v>KP CASE PSWT - Sheet1 - KP CASE PSWT - Sheet1.pdf</x:v>
      </x:c>
    </x:row>
    <x:row r="57" ht="36" customHeight="1">
      <x:c r="A57" s="13" t="str">
        <x:v>KP-25-056-PSWT</x:v>
      </x:c>
      <x:c r="B57" s="13" t="str">
        <x:v>boundary/property</x:v>
      </x:c>
      <x:c r="C57" s="13" t="str">
        <x:v>Real PDF</x:v>
      </x:c>
      <x:c r="D57" s="13" t="str">
        <x:v>KP-25-056-PSWT</x:v>
      </x:c>
      <x:c r="E57" s="13" t="str">
        <x:v>Civil</x:v>
      </x:c>
      <x:c r="F57" s="13" t="str">
        <x:v>Paglilinaw sa lupa</x:v>
      </x:c>
      <x:c r="G57" s="13" t="str">
        <x:v>June 20, 2025</x:v>
      </x:c>
      <x:c r="H57" s="13" t="str">
        <x:v>-</x:v>
      </x:c>
      <x:c r="I57" s="13" t="str">
        <x:v>Walang pagkakasundo sa dalawang panig kaya't ang maysumbong ay may karapatan ng maghain ng kaukulang reklamo sa kinauukulang tanggapan.</x:v>
      </x:c>
      <x:c r="J57" s="13" t="str">
        <x:v>Endorsed</x:v>
      </x:c>
      <x:c r="K57" s="13" t="str">
        <x:v>KP_COVERED_AMICABLE</x:v>
      </x:c>
      <x:c r="L57" s="13" t="str">
        <x:v>Eligible for KP screening</x:v>
      </x:c>
      <x:c r="M57" s="13" t="str">
        <x:v>Proceed to barangay conciliation / mediation screening</x:v>
      </x:c>
      <x:c r="N57" s="13" t="str">
        <x:v>Local land/property/boundary or neighbor access dispute suitable for KP screening and conciliation.</x:v>
      </x:c>
      <x:c r="O57" s="13" t="str"/>
      <x:c r="P57" s="13" t="str">
        <x:v>Paglilinaw sa lupa</x:v>
      </x:c>
      <x:c r="Q57" s="13" t="str"/>
      <x:c r="R57" s="13" t="str">
        <x:v>KP CASE PSWT - Sheet1 - KP CASE PSWT - Sheet1.pdf</x:v>
      </x:c>
    </x:row>
    <x:row r="58" ht="36" customHeight="1">
      <x:c r="A58" s="13" t="str">
        <x:v>KP-25-057-PSWT</x:v>
      </x:c>
      <x:c r="B58" s="13" t="str">
        <x:v>threats</x:v>
      </x:c>
      <x:c r="C58" s="13" t="str">
        <x:v>Real PDF</x:v>
      </x:c>
      <x:c r="D58" s="13" t="str">
        <x:v>KP-25-057-PSWT</x:v>
      </x:c>
      <x:c r="E58" s="13" t="str">
        <x:v>Criminal</x:v>
      </x:c>
      <x:c r="F58" s="13" t="str">
        <x:v>Pagbabanta</x:v>
      </x:c>
      <x:c r="G58" s="13" t="str">
        <x:v>June 20, 2025</x:v>
      </x:c>
      <x:c r="H58" s="13" t="str">
        <x:v>-</x:v>
      </x:c>
      <x:c r="I58" s="13" t="str">
        <x:v>Nagkaroon ng pagkakasundo. At nakahingian ng pasensya ang isa't isa. Ang usapin ay tinapos sa araw na ito.</x:v>
      </x:c>
      <x:c r="J58" s="13" t="str">
        <x:v>Settled</x:v>
      </x:c>
      <x:c r="K58" s="13" t="str">
        <x:v>KP_COVERED_AMICABLE</x:v>
      </x:c>
      <x:c r="L58" s="13" t="str">
        <x:v>Eligible for KP screening</x:v>
      </x:c>
      <x:c r="M58" s="13" t="str">
        <x:v>Proceed to barangay conciliation / mediation screening</x:v>
      </x:c>
      <x:c r="N58" s="13" t="str">
        <x:v>Threat/harassment dispute; proceed to KP only if minor and no imminent danger or protected-person issue.</x:v>
      </x:c>
      <x:c r="O58" s="13" t="str"/>
      <x:c r="P58" s="13" t="str">
        <x:v>Pagbabanta</x:v>
      </x:c>
      <x:c r="Q58" s="13" t="str"/>
      <x:c r="R58" s="13" t="str">
        <x:v>KP CASE PSWT - Sheet1 - KP CASE PSWT - Sheet1.pdf</x:v>
      </x:c>
    </x:row>
    <x:row r="59" ht="36" customHeight="1">
      <x:c r="A59" s="13" t="str">
        <x:v>KP-25-058-PSWT</x:v>
      </x:c>
      <x:c r="B59" s="13" t="str">
        <x:v>debt</x:v>
      </x:c>
      <x:c r="C59" s="13" t="str">
        <x:v>Real PDF</x:v>
      </x:c>
      <x:c r="D59" s="13" t="str">
        <x:v>KP-25-058-PSWT</x:v>
      </x:c>
      <x:c r="E59" s="13" t="str">
        <x:v>Civil</x:v>
      </x:c>
      <x:c r="F59" s="13" t="str">
        <x:v>Paglilinaw sa welding machine</x:v>
      </x:c>
      <x:c r="G59" s="13" t="str">
        <x:v>July 2, 2025</x:v>
      </x:c>
      <x:c r="H59" s="13" t="str">
        <x:v>-</x:v>
      </x:c>
      <x:c r="I59" s="13" t="str">
        <x:v>Hindi dumadating ang ipinagsumbong kaya't ang maysumbong ay may karapatan ng maghain ng kaukulang reklamo sa kinauukulang tanggapan.</x:v>
      </x:c>
      <x:c r="J59" s="13" t="str">
        <x:v>Endorsed</x:v>
      </x:c>
      <x:c r="K59" s="13" t="str">
        <x:v>KP_COVERED_AMICABLE</x:v>
      </x:c>
      <x:c r="L59" s="13" t="str">
        <x:v>Eligible for KP screening</x:v>
      </x:c>
      <x:c r="M59" s="13" t="str">
        <x:v>Proceed to barangay conciliation / mediation screening</x:v>
      </x:c>
      <x:c r="N59" s="13" t="str">
        <x:v>Civil money/property return or small-contract dispute suitable for barangay conciliation if parties meet KP requirements.</x:v>
      </x:c>
      <x:c r="O59" s="13" t="str"/>
      <x:c r="P59" s="13" t="str">
        <x:v>Paglilinaw sa welding machine</x:v>
      </x:c>
      <x:c r="Q59" s="13" t="str"/>
      <x:c r="R59" s="13" t="str">
        <x:v>KP CASE PSWT - Sheet1 - KP CASE PSWT - Sheet1.pdf</x:v>
      </x:c>
    </x:row>
    <x:row r="60" ht="36" customHeight="1">
      <x:c r="A60" s="13" t="str">
        <x:v>KP-25-059-PSWT</x:v>
      </x:c>
      <x:c r="B60" s="13" t="str">
        <x:v>debt</x:v>
      </x:c>
      <x:c r="C60" s="13" t="str">
        <x:v>Real PDF</x:v>
      </x:c>
      <x:c r="D60" s="13" t="str">
        <x:v>KP-25-059-PSWT</x:v>
      </x:c>
      <x:c r="E60" s="13" t="str">
        <x:v>Civil</x:v>
      </x:c>
      <x:c r="F60" s="13" t="str">
        <x:v>Kumuha ng gamit ng walang pahintulot</x:v>
      </x:c>
      <x:c r="G60" s="13" t="str">
        <x:v>July 4, 2025</x:v>
      </x:c>
      <x:c r="H60" s="13" t="str">
        <x:v>-</x:v>
      </x:c>
      <x:c r="I60" s="13" t="str">
        <x:v>Nagkaroon ng pagkakasundo na babayaran ng ipinagsumbong ang gamit na halagang P70,000 hanggang October 16, 2025. Sa oras na hindi matupad ang kasunduan ang mga gamit ay ibebenta na.</x:v>
      </x:c>
      <x:c r="J60" s="13" t="str">
        <x:v>Settled</x:v>
      </x:c>
      <x:c r="K60" s="13" t="str">
        <x:v>KP_COVERED_AMICABLE</x:v>
      </x:c>
      <x:c r="L60" s="13" t="str">
        <x:v>Eligible for KP screening</x:v>
      </x:c>
      <x:c r="M60" s="13" t="str">
        <x:v>Proceed to barangay conciliation / mediation screening</x:v>
      </x:c>
      <x:c r="N60" s="13" t="str">
        <x:v>Civil money/property return or small-contract dispute suitable for barangay conciliation if parties meet KP requirements.</x:v>
      </x:c>
      <x:c r="O60" s="13" t="str">
        <x:v>P70,000</x:v>
      </x:c>
      <x:c r="P60" s="13" t="str">
        <x:v>Kumuha ng gamit ng walang pahintulot</x:v>
      </x:c>
      <x:c r="Q60" s="13" t="str"/>
      <x:c r="R60" s="13" t="str">
        <x:v>KP CASE PSWT - Sheet1 - KP CASE PSWT - Sheet1.pdf</x:v>
      </x:c>
    </x:row>
    <x:row r="61" ht="36" customHeight="1">
      <x:c r="A61" s="13" t="str">
        <x:v>KP-25-060-PSWT</x:v>
      </x:c>
      <x:c r="B61" s="13" t="str">
        <x:v>debt</x:v>
      </x:c>
      <x:c r="C61" s="13" t="str">
        <x:v>Real PDF</x:v>
      </x:c>
      <x:c r="D61" s="13" t="str">
        <x:v>KP-25-060-PSWT</x:v>
      </x:c>
      <x:c r="E61" s="13" t="str">
        <x:v>Civil</x:v>
      </x:c>
      <x:c r="F61" s="13" t="str">
        <x:v>Hindi pagbabayad sa utang</x:v>
      </x:c>
      <x:c r="G61" s="13" t="str">
        <x:v>July 15, 2025</x:v>
      </x:c>
      <x:c r="H61" s="13" t="str">
        <x:v>August 4, 2025</x:v>
      </x:c>
      <x:c r="I61" s="13" t="str">
        <x:v>Nagkasundo na maghuhulog ang ipinagsumbong tuwing ika-20 at ika-5 ng buwan. Ang usapin ay tinatapos na.</x:v>
      </x:c>
      <x:c r="J61" s="13" t="str">
        <x:v>Settled</x:v>
      </x:c>
      <x:c r="K61" s="13" t="str">
        <x:v>KP_COVERED_AMICABLE</x:v>
      </x:c>
      <x:c r="L61" s="13" t="str">
        <x:v>Eligible for KP screening</x:v>
      </x:c>
      <x:c r="M61" s="13" t="str">
        <x:v>Proceed to barangay conciliation / mediation screening</x:v>
      </x:c>
      <x:c r="N61" s="13" t="str">
        <x:v>Civil money/property return or small-contract dispute suitable for barangay conciliation if parties meet KP requirements.</x:v>
      </x:c>
      <x:c r="O61" s="13" t="str"/>
      <x:c r="P61" s="13" t="str">
        <x:v>Hindi pagbabayad sa utang</x:v>
      </x:c>
      <x:c r="Q61" s="13" t="str"/>
      <x:c r="R61" s="13" t="str">
        <x:v>KP CASE PSWT - Sheet1 - KP CASE PSWT - Sheet1.pdf</x:v>
      </x:c>
    </x:row>
    <x:row r="62" ht="36" customHeight="1">
      <x:c r="A62" s="13" t="str">
        <x:v>KP-25-061-PSWT</x:v>
      </x:c>
      <x:c r="B62" s="13" t="str">
        <x:v>physical injury</x:v>
      </x:c>
      <x:c r="C62" s="13" t="str">
        <x:v>Real PDF</x:v>
      </x:c>
      <x:c r="D62" s="13" t="str">
        <x:v>KP-25-061-PSWT</x:v>
      </x:c>
      <x:c r="E62" s="13" t="str">
        <x:v>Criminal</x:v>
      </x:c>
      <x:c r="F62" s="13" t="str">
        <x:v>Pagbibintang na pinalo sa ulo ng tablet</x:v>
      </x:c>
      <x:c r="G62" s="13" t="str">
        <x:v>July 4, 2025</x:v>
      </x:c>
      <x:c r="H62" s="13" t="str">
        <x:v>July 16, 2025</x:v>
      </x:c>
      <x:c r="I62" s="13" t="str">
        <x:v>Walang pagkakasundo sa dalawang panig kaya't ang maysumbong ay may karapatan ng maghain ng kaukulang reklamo sa kinauukulang tanggapan.</x:v>
      </x:c>
      <x:c r="J62" s="13" t="str">
        <x:v>Pending</x:v>
      </x:c>
      <x:c r="K62" s="13" t="str">
        <x:v>KP_COVERED_AMICABLE</x:v>
      </x:c>
      <x:c r="L62" s="13" t="str">
        <x:v>Eligible for KP screening</x:v>
      </x:c>
      <x:c r="M62" s="13" t="str">
        <x:v>Proceed to barangay conciliation / mediation screening</x:v>
      </x:c>
      <x:c r="N62" s="13" t="str">
        <x:v>Minor physical injury or altercation example; system should still screen severity, weapons, and medical findings.</x:v>
      </x:c>
      <x:c r="O62" s="13" t="str"/>
      <x:c r="P62" s="13" t="str">
        <x:v>Pagbibintang na pinalo sa ulo ng tablet</x:v>
      </x:c>
      <x:c r="Q62" s="13" t="str"/>
      <x:c r="R62" s="13" t="str">
        <x:v>KP CASE PSWT - Sheet1 - KP CASE PSWT - Sheet1.pdf</x:v>
      </x:c>
    </x:row>
    <x:row r="63" ht="36" customHeight="1">
      <x:c r="A63" s="13" t="str">
        <x:v>KP-25-062-PSWT</x:v>
      </x:c>
      <x:c r="B63" s="13" t="str">
        <x:v>debt</x:v>
      </x:c>
      <x:c r="C63" s="13" t="str">
        <x:v>Real PDF</x:v>
      </x:c>
      <x:c r="D63" s="13" t="str">
        <x:v>KP-25-062-PSWT</x:v>
      </x:c>
      <x:c r="E63" s="13" t="str">
        <x:v>Civil</x:v>
      </x:c>
      <x:c r="F63" s="13" t="str">
        <x:v>Hindi pagbayayad ng utang</x:v>
      </x:c>
      <x:c r="G63" s="13" t="str">
        <x:v>July 22, 2025</x:v>
      </x:c>
      <x:c r="H63" s="13" t="str">
        <x:v>July 29, 2025</x:v>
      </x:c>
      <x:c r="I63" s="13" t="str">
        <x:v>Nagkaroon ng pagkakasundo nangako ang ipinnagsumbong na ibibigay niya ang utang na P2,100 sa maysumbong sa August 3 2025.</x:v>
      </x:c>
      <x:c r="J63" s="13" t="str">
        <x:v>Settled</x:v>
      </x:c>
      <x:c r="K63" s="13" t="str">
        <x:v>KP_COVERED_AMICABLE</x:v>
      </x:c>
      <x:c r="L63" s="13" t="str">
        <x:v>Eligible for KP screening</x:v>
      </x:c>
      <x:c r="M63" s="13" t="str">
        <x:v>Proceed to barangay conciliation / mediation screening</x:v>
      </x:c>
      <x:c r="N63" s="13" t="str">
        <x:v>Civil money/property return or small-contract dispute suitable for barangay conciliation if parties meet KP requirements.</x:v>
      </x:c>
      <x:c r="O63" s="13" t="str">
        <x:v>P2,100</x:v>
      </x:c>
      <x:c r="P63" s="13" t="str">
        <x:v>Hindi pagbayayad ng utang</x:v>
      </x:c>
      <x:c r="Q63" s="13" t="str"/>
      <x:c r="R63" s="13" t="str">
        <x:v>KP CASE PSWT - Sheet1 - KP CASE PSWT - Sheet1.pdf</x:v>
      </x:c>
    </x:row>
    <x:row r="64" ht="36" customHeight="1">
      <x:c r="A64" s="13" t="str">
        <x:v>KP-25-063-PSWT</x:v>
      </x:c>
      <x:c r="B64" s="13" t="str">
        <x:v>outside-KP</x:v>
      </x:c>
      <x:c r="C64" s="13" t="str">
        <x:v>Real PDF</x:v>
      </x:c>
      <x:c r="D64" s="13" t="str">
        <x:v>KP-25-063-PSWT</x:v>
      </x:c>
      <x:c r="E64" s="13" t="str">
        <x:v>Criminal</x:v>
      </x:c>
      <x:c r="F64" s="13" t="str">
        <x:v>Pagbibintang na nagnakaw</x:v>
      </x:c>
      <x:c r="G64" s="13" t="str">
        <x:v>July 30, 2025</x:v>
      </x:c>
      <x:c r="H64" s="13" t="str">
        <x:v>August 1, 2025</x:v>
      </x:c>
      <x:c r="I64" s="13" t="str">
        <x:v>Nalinawan ang bawat isa na ang puno't dulo ng lahat ay ipinagsumbong at ginamit lang sila. Ang usapin ay tinatapos na.</x:v>
      </x:c>
      <x:c r="J64" s="13" t="str">
        <x:v>Settled</x:v>
      </x:c>
      <x:c r="K64" s="13" t="str">
        <x:v>NON_KP_REVIEW</x:v>
      </x:c>
      <x:c r="L64" s="13" t="str">
        <x:v>Needs legal/KP eligibility review</x:v>
      </x:c>
      <x:c r="M64" s="13" t="str">
        <x:v>Flag for secretary/lupon review before action</x:v>
      </x:c>
      <x:c r="N64" s="13" t="str">
        <x:v>Does not match the covered example categories or needs non-KP/legal review before conciliation.</x:v>
      </x:c>
      <x:c r="O64" s="13" t="str"/>
      <x:c r="P64" s="13" t="str">
        <x:v>Pagbibintang na nagnakaw</x:v>
      </x:c>
      <x:c r="Q64" s="13" t="str"/>
      <x:c r="R64" s="13" t="str">
        <x:v>KP CASE PSWT - Sheet1 - KP CASE PSWT - Sheet1.pdf</x:v>
      </x:c>
    </x:row>
    <x:row r="65" ht="36" customHeight="1">
      <x:c r="A65" s="13" t="str">
        <x:v>KP-25-064-PSWT</x:v>
      </x:c>
      <x:c r="B65" s="13" t="str">
        <x:v>debt</x:v>
      </x:c>
      <x:c r="C65" s="13" t="str">
        <x:v>Real PDF</x:v>
      </x:c>
      <x:c r="D65" s="13" t="str">
        <x:v>KP-25-064-PSWT</x:v>
      </x:c>
      <x:c r="E65" s="13" t="str">
        <x:v>Civil</x:v>
      </x:c>
      <x:c r="F65" s="13" t="str">
        <x:v>Pag-abandona sa trabaho</x:v>
      </x:c>
      <x:c r="G65" s="13" t="str">
        <x:v>July 30, 2025</x:v>
      </x:c>
      <x:c r="H65" s="13" t="str">
        <x:v>August 8, 2025</x:v>
      </x:c>
      <x:c r="I65" s="13" t="str">
        <x:v>Nagkasundo at nangako ang ipinagsumbong na huhulugan ang utang na P3,200. Magbibigay ng P500 linggo- linggo hanggang matapos ang halaga. Nakatupad ang ipinagsumbong.</x:v>
      </x:c>
      <x:c r="J65" s="13" t="str">
        <x:v>Settled</x:v>
      </x:c>
      <x:c r="K65" s="13" t="str">
        <x:v>KP_COVERED_AMICABLE</x:v>
      </x:c>
      <x:c r="L65" s="13" t="str">
        <x:v>Eligible for KP screening</x:v>
      </x:c>
      <x:c r="M65" s="13" t="str">
        <x:v>Proceed to barangay conciliation / mediation screening</x:v>
      </x:c>
      <x:c r="N65" s="13" t="str">
        <x:v>Civil money/property return or small-contract dispute suitable for barangay conciliation if parties meet KP requirements.</x:v>
      </x:c>
      <x:c r="O65" s="13" t="str">
        <x:v>P3,200; P500</x:v>
      </x:c>
      <x:c r="P65" s="13" t="str">
        <x:v>Pag-abandona sa trabaho</x:v>
      </x:c>
      <x:c r="Q65" s="13" t="str"/>
      <x:c r="R65" s="13" t="str">
        <x:v>KP CASE PSWT - Sheet1 - KP CASE PSWT - Sheet1.pdf</x:v>
      </x:c>
    </x:row>
    <x:row r="66" ht="36" customHeight="1">
      <x:c r="A66" s="13" t="str">
        <x:v>KP-25-065-PSWT</x:v>
      </x:c>
      <x:c r="B66" s="13" t="str">
        <x:v>threats</x:v>
      </x:c>
      <x:c r="C66" s="13" t="str">
        <x:v>Real PDF</x:v>
      </x:c>
      <x:c r="D66" s="13" t="str">
        <x:v>KP-25-065-PSWT</x:v>
      </x:c>
      <x:c r="E66" s="13" t="str">
        <x:v>Criminal</x:v>
      </x:c>
      <x:c r="F66" s="13" t="str">
        <x:v>Pagbabanta at panggugulo</x:v>
      </x:c>
      <x:c r="G66" s="13" t="str">
        <x:v>August 5, 2025</x:v>
      </x:c>
      <x:c r="H66" s="13" t="str">
        <x:v>-</x:v>
      </x:c>
      <x:c r="I66" s="13" t="str">
        <x:v>Hindi dumadating ang ipinagsumbong kaya't ang maysumbong ay may karapatan ng maghain ng kaukulang reklamo sa kinauukulang tanggapan.</x:v>
      </x:c>
      <x:c r="J66" s="13" t="str">
        <x:v>Endorsed</x:v>
      </x:c>
      <x:c r="K66" s="13" t="str">
        <x:v>KP_COVERED_AMICABLE</x:v>
      </x:c>
      <x:c r="L66" s="13" t="str">
        <x:v>Eligible for KP screening</x:v>
      </x:c>
      <x:c r="M66" s="13" t="str">
        <x:v>Proceed to barangay conciliation / mediation screening</x:v>
      </x:c>
      <x:c r="N66" s="13" t="str">
        <x:v>Threat/harassment dispute; proceed to KP only if minor and no imminent danger or protected-person issue.</x:v>
      </x:c>
      <x:c r="O66" s="13" t="str"/>
      <x:c r="P66" s="13" t="str">
        <x:v>Pagbabanta at panggugulo</x:v>
      </x:c>
      <x:c r="Q66" s="13" t="str"/>
      <x:c r="R66" s="13" t="str">
        <x:v>KP CASE PSWT - Sheet1 - KP CASE PSWT - Sheet1.pdf</x:v>
      </x:c>
    </x:row>
    <x:row r="67" ht="36" customHeight="1">
      <x:c r="A67" s="13" t="str">
        <x:v>KP-25-066-PSWT</x:v>
      </x:c>
      <x:c r="B67" s="13" t="str">
        <x:v>debt</x:v>
      </x:c>
      <x:c r="C67" s="13" t="str">
        <x:v>Real PDF</x:v>
      </x:c>
      <x:c r="D67" s="13" t="str">
        <x:v>KP-25-066-PSWT</x:v>
      </x:c>
      <x:c r="E67" s="13" t="str">
        <x:v>Civil</x:v>
      </x:c>
      <x:c r="F67" s="13" t="str">
        <x:v>Paglilinaw sa pinagawang motor</x:v>
      </x:c>
      <x:c r="G67" s="13" t="str">
        <x:v>August 6, 2025</x:v>
      </x:c>
      <x:c r="H67" s="13" t="str">
        <x:v>-</x:v>
      </x:c>
      <x:c r="I67" s="13" t="str">
        <x:v>Hindi dumadating ang ipinagsumbong kaya't ang maysumbong ay may karapatan ng maghain ng kaukulang reklamo sa kinauukulang tanggapan.</x:v>
      </x:c>
      <x:c r="J67" s="13" t="str">
        <x:v>Endorsed</x:v>
      </x:c>
      <x:c r="K67" s="13" t="str">
        <x:v>KP_COVERED_AMICABLE</x:v>
      </x:c>
      <x:c r="L67" s="13" t="str">
        <x:v>Eligible for KP screening</x:v>
      </x:c>
      <x:c r="M67" s="13" t="str">
        <x:v>Proceed to barangay conciliation / mediation screening</x:v>
      </x:c>
      <x:c r="N67" s="13" t="str">
        <x:v>Civil money/property return or small-contract dispute suitable for barangay conciliation if parties meet KP requirements.</x:v>
      </x:c>
      <x:c r="O67" s="13" t="str"/>
      <x:c r="P67" s="13" t="str">
        <x:v>Paglilinaw sa pinagawang motor</x:v>
      </x:c>
      <x:c r="Q67" s="13" t="str"/>
      <x:c r="R67" s="13" t="str">
        <x:v>KP CASE PSWT - Sheet1 - KP CASE PSWT - Sheet1.pdf</x:v>
      </x:c>
    </x:row>
    <x:row r="68" ht="36" customHeight="1">
      <x:c r="A68" s="13" t="str">
        <x:v>KP-25-067-PSWT</x:v>
      </x:c>
      <x:c r="B68" s="13" t="str">
        <x:v>debt</x:v>
      </x:c>
      <x:c r="C68" s="13" t="str">
        <x:v>Real PDF</x:v>
      </x:c>
      <x:c r="D68" s="13" t="str">
        <x:v>KP-25-067-PSWT</x:v>
      </x:c>
      <x:c r="E68" s="13" t="str">
        <x:v>Civil</x:v>
      </x:c>
      <x:c r="F68" s="13" t="str">
        <x:v>Hindi pagbabayad sa utang</x:v>
      </x:c>
      <x:c r="G68" s="13" t="str">
        <x:v>August 7, 2025</x:v>
      </x:c>
      <x:c r="H68" s="13" t="str">
        <x:v>August 12, 2025</x:v>
      </x:c>
      <x:c r="I68" s="13" t="str">
        <x:v>Nagkaroon ng pagkakasundo at nangako ang ipinagsumbong na magbibigay ng P2,500 para sa bigas na nakuha at maghuhulog ng P1,000 linggo-linggo hanggang matapos ang P8,500.</x:v>
      </x:c>
      <x:c r="J68" s="13" t="str">
        <x:v>Settled</x:v>
      </x:c>
      <x:c r="K68" s="13" t="str">
        <x:v>KP_COVERED_AMICABLE</x:v>
      </x:c>
      <x:c r="L68" s="13" t="str">
        <x:v>Eligible for KP screening</x:v>
      </x:c>
      <x:c r="M68" s="13" t="str">
        <x:v>Proceed to barangay conciliation / mediation screening</x:v>
      </x:c>
      <x:c r="N68" s="13" t="str">
        <x:v>Civil money/property return or small-contract dispute suitable for barangay conciliation if parties meet KP requirements.</x:v>
      </x:c>
      <x:c r="O68" s="13" t="str">
        <x:v>P2,500; P1,000; P8,500</x:v>
      </x:c>
      <x:c r="P68" s="13" t="str">
        <x:v>Hindi pagbabayad sa utang</x:v>
      </x:c>
      <x:c r="Q68" s="13" t="str"/>
      <x:c r="R68" s="13" t="str">
        <x:v>KP CASE PSWT - Sheet1 - KP CASE PSWT - Sheet1.pdf</x:v>
      </x:c>
    </x:row>
    <x:row r="69" ht="36" customHeight="1">
      <x:c r="A69" s="13" t="str">
        <x:v>KP-25-068-PSWT</x:v>
      </x:c>
      <x:c r="B69" s="13" t="str">
        <x:v>debt</x:v>
      </x:c>
      <x:c r="C69" s="13" t="str">
        <x:v>Real PDF</x:v>
      </x:c>
      <x:c r="D69" s="13" t="str">
        <x:v>KP-25-068-PSWT</x:v>
      </x:c>
      <x:c r="E69" s="13" t="str">
        <x:v>Civil</x:v>
      </x:c>
      <x:c r="F69" s="13" t="str">
        <x:v>Paglilinaw sa order na kahoy</x:v>
      </x:c>
      <x:c r="G69" s="13" t="str">
        <x:v>August 7, 2025</x:v>
      </x:c>
      <x:c r="H69" s="13" t="str">
        <x:v>-</x:v>
      </x:c>
      <x:c r="I69" s="13" t="str">
        <x:v>Walang pagkakasundo sa dalawang panig kaya't ang maysumbong ay may karapatan ng maghain ng kaukulang reklamo sa kinauukulang tanggapan.</x:v>
      </x:c>
      <x:c r="J69" s="13" t="str">
        <x:v>Endorsed</x:v>
      </x:c>
      <x:c r="K69" s="13" t="str">
        <x:v>KP_COVERED_AMICABLE</x:v>
      </x:c>
      <x:c r="L69" s="13" t="str">
        <x:v>Eligible for KP screening</x:v>
      </x:c>
      <x:c r="M69" s="13" t="str">
        <x:v>Proceed to barangay conciliation / mediation screening</x:v>
      </x:c>
      <x:c r="N69" s="13" t="str">
        <x:v>Civil money/property return or small-contract dispute suitable for barangay conciliation if parties meet KP requirements.</x:v>
      </x:c>
      <x:c r="O69" s="13" t="str"/>
      <x:c r="P69" s="13" t="str">
        <x:v>Paglilinaw sa order na kahoy</x:v>
      </x:c>
      <x:c r="Q69" s="13" t="str"/>
      <x:c r="R69" s="13" t="str">
        <x:v>KP CASE PSWT - Sheet1 - KP CASE PSWT - Sheet1.pdf</x:v>
      </x:c>
    </x:row>
    <x:row r="70" ht="36" customHeight="1">
      <x:c r="A70" s="13" t="str">
        <x:v>KP-25-069-PSWT</x:v>
      </x:c>
      <x:c r="B70" s="13" t="str">
        <x:v>debt</x:v>
      </x:c>
      <x:c r="C70" s="13" t="str">
        <x:v>Real PDF</x:v>
      </x:c>
      <x:c r="D70" s="13" t="str">
        <x:v>KP-25-069-PSWT</x:v>
      </x:c>
      <x:c r="E70" s="13" t="str">
        <x:v>Criminal</x:v>
      </x:c>
      <x:c r="F70" s="13" t="str">
        <x:v>Paninirang puri gamit FAceBook</x:v>
      </x:c>
      <x:c r="G70" s="13" t="str">
        <x:v>August 8, 2025</x:v>
      </x:c>
      <x:c r="H70" s="13" t="str">
        <x:v>August 22, 2025</x:v>
      </x:c>
      <x:c r="I70" s="13" t="str">
        <x:v>Nagkalinawan ang dalawang panig, iiwasan ang magparinigan at walang pakialamanan.</x:v>
      </x:c>
      <x:c r="J70" s="13" t="str">
        <x:v>Settled</x:v>
      </x:c>
      <x:c r="K70" s="13" t="str">
        <x:v>KP_COVERED_AMICABLE</x:v>
      </x:c>
      <x:c r="L70" s="13" t="str">
        <x:v>Eligible for KP screening</x:v>
      </x:c>
      <x:c r="M70" s="13" t="str">
        <x:v>Proceed to barangay conciliation / mediation screening</x:v>
      </x:c>
      <x:c r="N70" s="13" t="str">
        <x:v>Civil money/property return or small-contract dispute suitable for barangay conciliation if parties meet KP requirements.</x:v>
      </x:c>
      <x:c r="O70" s="13" t="str"/>
      <x:c r="P70" s="13" t="str">
        <x:v>Paninirang puri gamit FAceBook</x:v>
      </x:c>
      <x:c r="Q70" s="13" t="str"/>
      <x:c r="R70" s="13" t="str">
        <x:v>KP CASE PSWT - Sheet1 - KP CASE PSWT - Sheet1.pdf</x:v>
      </x:c>
    </x:row>
    <x:row r="71" ht="36" customHeight="1">
      <x:c r="A71" s="13" t="str">
        <x:v>KP-25-070-PSWT</x:v>
      </x:c>
      <x:c r="B71" s="13" t="str">
        <x:v>physical injury</x:v>
      </x:c>
      <x:c r="C71" s="13" t="str">
        <x:v>Real PDF</x:v>
      </x:c>
      <x:c r="D71" s="13" t="str">
        <x:v>KP-25-070-PSWT</x:v>
      </x:c>
      <x:c r="E71" s="13" t="str">
        <x:v>Criminal</x:v>
      </x:c>
      <x:c r="F71" s="13" t="str">
        <x:v>Panununtok sa liga ng basketball</x:v>
      </x:c>
      <x:c r="G71" s="13" t="str">
        <x:v>August 8, 2025</x:v>
      </x:c>
      <x:c r="H71" s="13" t="str">
        <x:v>-</x:v>
      </x:c>
      <x:c r="I71" s="13" t="str">
        <x:v>Walang pagkakasundo sa dalawang panig kaya't ang maysumbong ay may karapatan ng maghain ng kaukulang reklamo sa kinauukulang tanggapan.</x:v>
      </x:c>
      <x:c r="J71" s="13" t="str">
        <x:v>Endorsed</x:v>
      </x:c>
      <x:c r="K71" s="13" t="str">
        <x:v>KP_COVERED_AMICABLE</x:v>
      </x:c>
      <x:c r="L71" s="13" t="str">
        <x:v>Eligible for KP screening</x:v>
      </x:c>
      <x:c r="M71" s="13" t="str">
        <x:v>Proceed to barangay conciliation / mediation screening</x:v>
      </x:c>
      <x:c r="N71" s="13" t="str">
        <x:v>Minor physical injury or altercation example; system should still screen severity, weapons, and medical findings.</x:v>
      </x:c>
      <x:c r="O71" s="13" t="str"/>
      <x:c r="P71" s="13" t="str">
        <x:v>Panununtok sa liga ng basketball</x:v>
      </x:c>
      <x:c r="Q71" s="13" t="str"/>
      <x:c r="R71" s="13" t="str">
        <x:v>KP CASE PSWT - Sheet1 - KP CASE PSWT - Sheet1.pdf</x:v>
      </x:c>
    </x:row>
    <x:row r="72" ht="36" customHeight="1">
      <x:c r="A72" s="13" t="str">
        <x:v>KP-25-071-PSWT</x:v>
      </x:c>
      <x:c r="B72" s="13" t="str">
        <x:v>penalty-over-1-year</x:v>
      </x:c>
      <x:c r="C72" s="13" t="str">
        <x:v>Real PDF</x:v>
      </x:c>
      <x:c r="D72" s="13" t="str">
        <x:v>KP-25-071-PSWT</x:v>
      </x:c>
      <x:c r="E72" s="13" t="str">
        <x:v>Criminal</x:v>
      </x:c>
      <x:c r="F72" s="13" t="str">
        <x:v>Pagnanakaw ng kuryente at paninira ng pintuan</x:v>
      </x:c>
      <x:c r="G72" s="13" t="str">
        <x:v>August 11, 2025</x:v>
      </x:c>
      <x:c r="H72" s="13" t="str">
        <x:v>-</x:v>
      </x:c>
      <x:c r="I72" s="13" t="str">
        <x:v>Nagkaroon ng unang patawag subalit sa pangalawang patawag hindi dumating ang maysumbong.</x:v>
      </x:c>
      <x:c r="J72" s="13" t="str">
        <x:v>Dismiss</x:v>
      </x:c>
      <x:c r="K72" s="13" t="str">
        <x:v>NON_KP_REFERRAL</x:v>
      </x:c>
      <x:c r="L72" s="13" t="str">
        <x:v>Not KP due to legal threshold or serious offense</x:v>
      </x:c>
      <x:c r="M72" s="13" t="str">
        <x:v>Refer to PNP/prosecutor/court or proper agency</x:v>
      </x:c>
      <x:c r="N72" s="13" t="str">
        <x:v>Nature suggests offense that may exceed KP penalty threshold or requires prosecutor/police/legal review.</x:v>
      </x:c>
      <x:c r="O72" s="13" t="str"/>
      <x:c r="P72" s="13" t="str">
        <x:v>Pagnanakaw ng kuryente at paninira ng pintuan</x:v>
      </x:c>
      <x:c r="Q72" s="13" t="str"/>
      <x:c r="R72" s="13" t="str">
        <x:v>KP CASE PSWT - Sheet1 - KP CASE PSWT - Sheet1.pdf</x:v>
      </x:c>
    </x:row>
    <x:row r="73" ht="36" customHeight="1">
      <x:c r="A73" s="13" t="str">
        <x:v>KP-25-072-PSWT</x:v>
      </x:c>
      <x:c r="B73" s="13" t="str">
        <x:v>physical injury</x:v>
      </x:c>
      <x:c r="C73" s="13" t="str">
        <x:v>Real PDF</x:v>
      </x:c>
      <x:c r="D73" s="13" t="str">
        <x:v>KP-25-072-PSWT</x:v>
      </x:c>
      <x:c r="E73" s="13" t="str">
        <x:v>Criminal</x:v>
      </x:c>
      <x:c r="F73" s="13" t="str">
        <x:v>Physical injury at oral defamation</x:v>
      </x:c>
      <x:c r="G73" s="13" t="str">
        <x:v>August 11, 2025</x:v>
      </x:c>
      <x:c r="H73" s="13" t="str">
        <x:v>-</x:v>
      </x:c>
      <x:c r="I73" s="13" t="str">
        <x:v>Walang pagkakasundo subalit ang maysumbong ay nagsabi na lang na bayaran na lang ang utang sa bigas na kinuha na nagkakahalaga ng P5,300.</x:v>
      </x:c>
      <x:c r="J73" s="13" t="str">
        <x:v>Settled</x:v>
      </x:c>
      <x:c r="K73" s="13" t="str">
        <x:v>KP_COVERED_AMICABLE</x:v>
      </x:c>
      <x:c r="L73" s="13" t="str">
        <x:v>Eligible for KP screening</x:v>
      </x:c>
      <x:c r="M73" s="13" t="str">
        <x:v>Proceed to barangay conciliation / mediation screening</x:v>
      </x:c>
      <x:c r="N73" s="13" t="str">
        <x:v>Minor physical injury or altercation example; system should still screen severity, weapons, and medical findings.</x:v>
      </x:c>
      <x:c r="O73" s="13" t="str">
        <x:v>P5,300</x:v>
      </x:c>
      <x:c r="P73" s="13" t="str">
        <x:v>Physical injury at oral defamation</x:v>
      </x:c>
      <x:c r="Q73" s="13" t="str"/>
      <x:c r="R73" s="13" t="str">
        <x:v>KP CASE PSWT - Sheet1 - KP CASE PSWT - Sheet1.pdf</x:v>
      </x:c>
    </x:row>
    <x:row r="74" ht="36" customHeight="1">
      <x:c r="A74" s="13" t="str">
        <x:v>KP-25-073-PSWT</x:v>
      </x:c>
      <x:c r="B74" s="13" t="str">
        <x:v>physical injury</x:v>
      </x:c>
      <x:c r="C74" s="13" t="str">
        <x:v>Real PDF</x:v>
      </x:c>
      <x:c r="D74" s="13" t="str">
        <x:v>KP-25-073-PSWT</x:v>
      </x:c>
      <x:c r="E74" s="13" t="str">
        <x:v>Criminal</x:v>
      </x:c>
      <x:c r="F74" s="13" t="str">
        <x:v>Panununtok</x:v>
      </x:c>
      <x:c r="G74" s="13" t="str">
        <x:v>August 13, 2025</x:v>
      </x:c>
      <x:c r="H74" s="13" t="str">
        <x:v>August 26, 2025</x:v>
      </x:c>
      <x:c r="I74" s="13" t="str">
        <x:v>Walang pagkakasundo subalit ang maysumbong ay nagsabi na lang na bayaran na lang ang utang sa bigas na kinuha na nagkakahalaga ng P5,300.</x:v>
      </x:c>
      <x:c r="J74" s="13" t="str">
        <x:v>Settled</x:v>
      </x:c>
      <x:c r="K74" s="13" t="str">
        <x:v>KP_COVERED_AMICABLE</x:v>
      </x:c>
      <x:c r="L74" s="13" t="str">
        <x:v>Eligible for KP screening</x:v>
      </x:c>
      <x:c r="M74" s="13" t="str">
        <x:v>Proceed to barangay conciliation / mediation screening</x:v>
      </x:c>
      <x:c r="N74" s="13" t="str">
        <x:v>Minor physical injury or altercation example; system should still screen severity, weapons, and medical findings.</x:v>
      </x:c>
      <x:c r="O74" s="13" t="str">
        <x:v>P5,300</x:v>
      </x:c>
      <x:c r="P74" s="13" t="str">
        <x:v>Panununtok</x:v>
      </x:c>
      <x:c r="Q74" s="13" t="str"/>
      <x:c r="R74" s="13" t="str">
        <x:v>KP CASE PSWT - Sheet1 - KP CASE PSWT - Sheet1.pdf</x:v>
      </x:c>
    </x:row>
    <x:row r="75" ht="36" customHeight="1">
      <x:c r="A75" s="13" t="str">
        <x:v>KP-25-074-PSWT</x:v>
      </x:c>
      <x:c r="B75" s="13" t="str">
        <x:v>outside-KP</x:v>
      </x:c>
      <x:c r="C75" s="13" t="str">
        <x:v>Real PDF</x:v>
      </x:c>
      <x:c r="D75" s="13" t="str">
        <x:v>KP-25-074-PSWT</x:v>
      </x:c>
      <x:c r="E75" s="13" t="str">
        <x:v>Criminal</x:v>
      </x:c>
      <x:c r="F75" s="13" t="str">
        <x:v>Pagbibintang</x:v>
      </x:c>
      <x:c r="G75" s="13" t="str">
        <x:v>August 18, 2025</x:v>
      </x:c>
      <x:c r="H75" s="13" t="str">
        <x:v>-</x:v>
      </x:c>
      <x:c r="I75" s="13" t="str">
        <x:v>Walang pagkakasundo sa dalawang panig kaya't ang maysumbong ay may karapatan ng maghain ng kaukulang reklamo sa kinauukulang tanggapan.</x:v>
      </x:c>
      <x:c r="J75" s="13" t="str">
        <x:v>Endorsed</x:v>
      </x:c>
      <x:c r="K75" s="13" t="str">
        <x:v>NON_KP_REVIEW</x:v>
      </x:c>
      <x:c r="L75" s="13" t="str">
        <x:v>Needs legal/KP eligibility review</x:v>
      </x:c>
      <x:c r="M75" s="13" t="str">
        <x:v>Flag for secretary/lupon review before action</x:v>
      </x:c>
      <x:c r="N75" s="13" t="str">
        <x:v>Does not match the covered example categories or needs non-KP/legal review before conciliation.</x:v>
      </x:c>
      <x:c r="O75" s="13" t="str"/>
      <x:c r="P75" s="13" t="str">
        <x:v>Pagbibintang</x:v>
      </x:c>
      <x:c r="Q75" s="13" t="str"/>
      <x:c r="R75" s="13" t="str">
        <x:v>KP CASE PSWT - Sheet1 - KP CASE PSWT - Sheet1.pdf</x:v>
      </x:c>
    </x:row>
    <x:row r="76" ht="36" customHeight="1">
      <x:c r="A76" s="13" t="str">
        <x:v>KP-25-075-PSWT</x:v>
      </x:c>
      <x:c r="B76" s="13" t="str">
        <x:v>physical injury</x:v>
      </x:c>
      <x:c r="C76" s="13" t="str">
        <x:v>Real PDF</x:v>
      </x:c>
      <x:c r="D76" s="13" t="str">
        <x:v>KP-25-075-PSWT</x:v>
      </x:c>
      <x:c r="E76" s="13" t="str">
        <x:v>Criminal</x:v>
      </x:c>
      <x:c r="F76" s="13" t="str">
        <x:v>Panununtok</x:v>
      </x:c>
      <x:c r="G76" s="13" t="str">
        <x:v>August 3, 2025</x:v>
      </x:c>
      <x:c r="H76" s="13" t="str">
        <x:v>August 25, 2025</x:v>
      </x:c>
      <x:c r="I76" s="13" t="str">
        <x:v>Nagkaunawaan ang dalawang panig. Humingi ng pasensya ang ipinagsumbong at nangako na hindi na mauulit. Ang usapn ay tinatapos na.</x:v>
      </x:c>
      <x:c r="J76" s="13" t="str">
        <x:v>Settled</x:v>
      </x:c>
      <x:c r="K76" s="13" t="str">
        <x:v>KP_COVERED_AMICABLE</x:v>
      </x:c>
      <x:c r="L76" s="13" t="str">
        <x:v>Eligible for KP screening</x:v>
      </x:c>
      <x:c r="M76" s="13" t="str">
        <x:v>Proceed to barangay conciliation / mediation screening</x:v>
      </x:c>
      <x:c r="N76" s="13" t="str">
        <x:v>Minor physical injury or altercation example; system should still screen severity, weapons, and medical findings.</x:v>
      </x:c>
      <x:c r="O76" s="13" t="str"/>
      <x:c r="P76" s="13" t="str">
        <x:v>Panununtok</x:v>
      </x:c>
      <x:c r="Q76" s="13" t="str"/>
      <x:c r="R76" s="13" t="str">
        <x:v>KP CASE PSWT - Sheet1 - KP CASE PSWT - Sheet1.pdf</x:v>
      </x:c>
    </x:row>
    <x:row r="77" ht="36" customHeight="1">
      <x:c r="A77" s="13" t="str">
        <x:v>KP-25-076-PSWT</x:v>
      </x:c>
      <x:c r="B77" s="13" t="str">
        <x:v>boundary/property</x:v>
      </x:c>
      <x:c r="C77" s="13" t="str">
        <x:v>Real PDF</x:v>
      </x:c>
      <x:c r="D77" s="13" t="str">
        <x:v>KP-25-076-PSWT</x:v>
      </x:c>
      <x:c r="E77" s="13" t="str">
        <x:v>Civil</x:v>
      </x:c>
      <x:c r="F77" s="13" t="str">
        <x:v>Paglilinaw sa pinutol na puno at tapon ng tubig</x:v>
      </x:c>
      <x:c r="G77" s="13" t="str">
        <x:v>August 18, 2025</x:v>
      </x:c>
      <x:c r="H77" s="13" t="str">
        <x:v>September 4, 2025</x:v>
      </x:c>
      <x:c r="I77" s="13" t="str">
        <x:v>Nagkaroon ng pagkakasundo na sila ay magpapalinis ng mga puno na nakatakip sa bahay ng maysumbong at sasabayaan ng pag-aayos ng tuluan ng tubig na nasa bakuran ng maysumbong.</x:v>
      </x:c>
      <x:c r="J77" s="13" t="str">
        <x:v>Settled</x:v>
      </x:c>
      <x:c r="K77" s="13" t="str">
        <x:v>KP_COVERED_AMICABLE</x:v>
      </x:c>
      <x:c r="L77" s="13" t="str">
        <x:v>Eligible for KP screening</x:v>
      </x:c>
      <x:c r="M77" s="13" t="str">
        <x:v>Proceed to barangay conciliation / mediation screening</x:v>
      </x:c>
      <x:c r="N77" s="13" t="str">
        <x:v>Local land/property/boundary or neighbor access dispute suitable for KP screening and conciliation.</x:v>
      </x:c>
      <x:c r="O77" s="13" t="str"/>
      <x:c r="P77" s="13" t="str">
        <x:v>Paglilinaw sa pinutol na puno at tapon ng tubig</x:v>
      </x:c>
      <x:c r="Q77" s="13" t="str"/>
      <x:c r="R77" s="13" t="str">
        <x:v>KP CASE PSWT - Sheet1 - KP CASE PSWT - Sheet1.pdf</x:v>
      </x:c>
    </x:row>
    <x:row r="78" ht="36" customHeight="1">
      <x:c r="A78" s="13" t="str">
        <x:v>KP-25-077-PSWT</x:v>
      </x:c>
      <x:c r="B78" s="13" t="str">
        <x:v>debt</x:v>
      </x:c>
      <x:c r="C78" s="13" t="str">
        <x:v>Real PDF</x:v>
      </x:c>
      <x:c r="D78" s="13" t="str">
        <x:v>KP-25-077-PSWT</x:v>
      </x:c>
      <x:c r="E78" s="13" t="str">
        <x:v>Civil</x:v>
      </x:c>
      <x:c r="F78" s="13" t="str">
        <x:v>Hindi pagbabayad sa utang</x:v>
      </x:c>
      <x:c r="G78" s="13" t="str">
        <x:v>August 20, 2025</x:v>
      </x:c>
      <x:c r="H78" s="13" t="str">
        <x:v>-</x:v>
      </x:c>
      <x:c r="I78" s="13" t="str">
        <x:v>Walang pagkakasundo sa dalawang panig kaya't ang maysumbong ay may karapatan ng maghain ng kaukulang reklamo sa kinauukulang tanggapan.</x:v>
      </x:c>
      <x:c r="J78" s="13" t="str">
        <x:v>Endorsed</x:v>
      </x:c>
      <x:c r="K78" s="13" t="str">
        <x:v>KP_COVERED_AMICABLE</x:v>
      </x:c>
      <x:c r="L78" s="13" t="str">
        <x:v>Eligible for KP screening</x:v>
      </x:c>
      <x:c r="M78" s="13" t="str">
        <x:v>Proceed to barangay conciliation / mediation screening</x:v>
      </x:c>
      <x:c r="N78" s="13" t="str">
        <x:v>Civil money/property return or small-contract dispute suitable for barangay conciliation if parties meet KP requirements.</x:v>
      </x:c>
      <x:c r="O78" s="13" t="str"/>
      <x:c r="P78" s="13" t="str">
        <x:v>Hindi pagbabayad sa utang</x:v>
      </x:c>
      <x:c r="Q78" s="13" t="str"/>
      <x:c r="R78" s="13" t="str">
        <x:v>KP CASE PSWT - Sheet1 - KP CASE PSWT - Sheet1.pdf</x:v>
      </x:c>
    </x:row>
    <x:row r="79" ht="36" customHeight="1">
      <x:c r="A79" s="13" t="str">
        <x:v>KP-25-078-PSWT</x:v>
      </x:c>
      <x:c r="B79" s="13" t="str">
        <x:v>outside-KP</x:v>
      </x:c>
      <x:c r="C79" s="13" t="str">
        <x:v>Real PDF</x:v>
      </x:c>
      <x:c r="D79" s="13" t="str">
        <x:v>KP-25-078-PSWT</x:v>
      </x:c>
      <x:c r="E79" s="13" t="str">
        <x:v>Criminal</x:v>
      </x:c>
      <x:c r="F79" s="13" t="str">
        <x:v>Paninirang puri sa social media</x:v>
      </x:c>
      <x:c r="G79" s="13" t="str">
        <x:v>August 25, 2025</x:v>
      </x:c>
      <x:c r="H79" s="13" t="str">
        <x:v>September 3, 2025</x:v>
      </x:c>
      <x:c r="I79" s="13" t="str">
        <x:v>Nagkaroon ng pagkakasundo at pakiusap ng maysumbong na magpublic apology ang maysumbong. Pakiusap ng ipinagsumbong na magpost din ang maysumbong na magthank you.</x:v>
      </x:c>
      <x:c r="J79" s="13" t="str">
        <x:v>Settled</x:v>
      </x:c>
      <x:c r="K79" s="13" t="str">
        <x:v>NON_KP_REVIEW</x:v>
      </x:c>
      <x:c r="L79" s="13" t="str">
        <x:v>Needs legal/KP eligibility review</x:v>
      </x:c>
      <x:c r="M79" s="13" t="str">
        <x:v>Flag for secretary/lupon review before action</x:v>
      </x:c>
      <x:c r="N79" s="13" t="str">
        <x:v>Does not match the covered example categories or needs non-KP/legal review before conciliation.</x:v>
      </x:c>
      <x:c r="O79" s="13" t="str"/>
      <x:c r="P79" s="13" t="str">
        <x:v>Paninirang puri sa social media</x:v>
      </x:c>
      <x:c r="Q79" s="13" t="str"/>
      <x:c r="R79" s="13" t="str">
        <x:v>KP CASE PSWT - Sheet1 - KP CASE PSWT - Sheet1.pdf</x:v>
      </x:c>
    </x:row>
    <x:row r="80" ht="36" customHeight="1">
      <x:c r="A80" s="13" t="str">
        <x:v>KP-25-079-PSWT</x:v>
      </x:c>
      <x:c r="B80" s="13" t="str">
        <x:v>debt</x:v>
      </x:c>
      <x:c r="C80" s="13" t="str">
        <x:v>Real PDF</x:v>
      </x:c>
      <x:c r="D80" s="13" t="str">
        <x:v>KP-25-079-PSWT</x:v>
      </x:c>
      <x:c r="E80" s="13" t="str">
        <x:v>Civil</x:v>
      </x:c>
      <x:c r="F80" s="13" t="str">
        <x:v>Paglilinaw sa utang</x:v>
      </x:c>
      <x:c r="G80" s="13" t="str">
        <x:v>September 1, 2025</x:v>
      </x:c>
      <x:c r="H80" s="13" t="str">
        <x:v>-</x:v>
      </x:c>
      <x:c r="I80" s="13" t="str">
        <x:v>Walang pagkakasundo sa dalawang panig kaya't ang maysumbong ay may karapatan ng maghain ng kaukulang reklamo sa kinauukulang tanggapan.</x:v>
      </x:c>
      <x:c r="J80" s="13" t="str">
        <x:v>Endorsed</x:v>
      </x:c>
      <x:c r="K80" s="13" t="str">
        <x:v>KP_COVERED_AMICABLE</x:v>
      </x:c>
      <x:c r="L80" s="13" t="str">
        <x:v>Eligible for KP screening</x:v>
      </x:c>
      <x:c r="M80" s="13" t="str">
        <x:v>Proceed to barangay conciliation / mediation screening</x:v>
      </x:c>
      <x:c r="N80" s="13" t="str">
        <x:v>Civil money/property return or small-contract dispute suitable for barangay conciliation if parties meet KP requirements.</x:v>
      </x:c>
      <x:c r="O80" s="13" t="str"/>
      <x:c r="P80" s="13" t="str">
        <x:v>Paglilinaw sa utang</x:v>
      </x:c>
      <x:c r="Q80" s="13" t="str"/>
      <x:c r="R80" s="13" t="str">
        <x:v>KP CASE PSWT - Sheet1 - KP CASE PSWT - Sheet1.pdf</x:v>
      </x:c>
    </x:row>
    <x:row r="81" ht="36" customHeight="1">
      <x:c r="A81" s="13" t="str">
        <x:v>KP-25-080-PSWT</x:v>
      </x:c>
      <x:c r="B81" s="13" t="str">
        <x:v>threats</x:v>
      </x:c>
      <x:c r="C81" s="13" t="str">
        <x:v>Real PDF</x:v>
      </x:c>
      <x:c r="D81" s="13" t="str">
        <x:v>KP-25-080-PSWT</x:v>
      </x:c>
      <x:c r="E81" s="13" t="str">
        <x:v>Criminal</x:v>
      </x:c>
      <x:c r="F81" s="13" t="str">
        <x:v>Pagbabanta sa kanilang kapatid</x:v>
      </x:c>
      <x:c r="G81" s="13" t="str">
        <x:v>September 7, 2025</x:v>
      </x:c>
      <x:c r="H81" s="13" t="str">
        <x:v>September 25, 2025</x:v>
      </x:c>
      <x:c r="I81" s="13" t="str">
        <x:v>Ang usapin ay tinatapos na.</x:v>
      </x:c>
      <x:c r="J81" s="13" t="str">
        <x:v>Settled</x:v>
      </x:c>
      <x:c r="K81" s="13" t="str">
        <x:v>KP_COVERED_AMICABLE</x:v>
      </x:c>
      <x:c r="L81" s="13" t="str">
        <x:v>Eligible for KP screening</x:v>
      </x:c>
      <x:c r="M81" s="13" t="str">
        <x:v>Proceed to barangay conciliation / mediation screening</x:v>
      </x:c>
      <x:c r="N81" s="13" t="str">
        <x:v>Threat/harassment dispute; proceed to KP only if minor and no imminent danger or protected-person issue.</x:v>
      </x:c>
      <x:c r="O81" s="13" t="str"/>
      <x:c r="P81" s="13" t="str">
        <x:v>Pagbabanta sa kanilang kapatid</x:v>
      </x:c>
      <x:c r="Q81" s="13" t="str"/>
      <x:c r="R81" s="13" t="str">
        <x:v>KP CASE PSWT - Sheet1 - KP CASE PSWT - Sheet1.pdf</x:v>
      </x:c>
    </x:row>
    <x:row r="82" ht="36" customHeight="1">
      <x:c r="A82" s="13" t="str">
        <x:v>KP-25-081-PSWT</x:v>
      </x:c>
      <x:c r="B82" s="13" t="str">
        <x:v>debt</x:v>
      </x:c>
      <x:c r="C82" s="13" t="str">
        <x:v>Real PDF</x:v>
      </x:c>
      <x:c r="D82" s="13" t="str">
        <x:v>KP-25-081-PSWT</x:v>
      </x:c>
      <x:c r="E82" s="13" t="str">
        <x:v>Civil</x:v>
      </x:c>
      <x:c r="F82" s="13" t="str">
        <x:v>Paglilinaw sa inutang na pera at pinagawang jeep</x:v>
      </x:c>
      <x:c r="G82" s="13" t="str">
        <x:v>September 12, 2025</x:v>
      </x:c>
      <x:c r="H82" s="13" t="str">
        <x:v>October 3, 2025</x:v>
      </x:c>
      <x:c r="I82" s="13" t="str">
        <x:v>Ang usapin ay tinatapos na nagbayad ang ipinagsumbiong ng P5,000 sa maysumbong.</x:v>
      </x:c>
      <x:c r="J82" s="13" t="str">
        <x:v>Settled</x:v>
      </x:c>
      <x:c r="K82" s="13" t="str">
        <x:v>KP_COVERED_AMICABLE</x:v>
      </x:c>
      <x:c r="L82" s="13" t="str">
        <x:v>Eligible for KP screening</x:v>
      </x:c>
      <x:c r="M82" s="13" t="str">
        <x:v>Proceed to barangay conciliation / mediation screening</x:v>
      </x:c>
      <x:c r="N82" s="13" t="str">
        <x:v>Civil money/property return or small-contract dispute suitable for barangay conciliation if parties meet KP requirements.</x:v>
      </x:c>
      <x:c r="O82" s="13" t="str">
        <x:v>P5,000</x:v>
      </x:c>
      <x:c r="P82" s="13" t="str">
        <x:v>Paglilinaw sa inutang na pera at pinagawang jeep</x:v>
      </x:c>
      <x:c r="Q82" s="13" t="str"/>
      <x:c r="R82" s="13" t="str">
        <x:v>KP CASE PSWT - Sheet1 - KP CASE PSWT - Sheet1.pdf</x:v>
      </x:c>
    </x:row>
    <x:row r="83" ht="36" customHeight="1">
      <x:c r="A83" s="13" t="str">
        <x:v>KP-25-082-PSWT</x:v>
      </x:c>
      <x:c r="B83" s="13" t="str">
        <x:v>debt</x:v>
      </x:c>
      <x:c r="C83" s="13" t="str">
        <x:v>Real PDF</x:v>
      </x:c>
      <x:c r="D83" s="13" t="str">
        <x:v>KP-25-082-PSWT</x:v>
      </x:c>
      <x:c r="E83" s="13" t="str">
        <x:v>Civil</x:v>
      </x:c>
      <x:c r="F83" s="13" t="str">
        <x:v>Paglilinaw sa pinagawang kuntador ng Meralco</x:v>
      </x:c>
      <x:c r="G83" s="13" t="str">
        <x:v>September 18, 2025</x:v>
      </x:c>
      <x:c r="H83" s="13" t="str">
        <x:v>-</x:v>
      </x:c>
      <x:c r="I83" s="13" t="str">
        <x:v>Ang ipinagsumbong ay hindi nadating sa araw ng paghaharap kaya't ang maysumbong ay may karapatan ng maghain ng kaukulang reklamo sa kinauukulang tanggapan.</x:v>
      </x:c>
      <x:c r="J83" s="13" t="str">
        <x:v>Endorsed</x:v>
      </x:c>
      <x:c r="K83" s="13" t="str">
        <x:v>KP_COVERED_AMICABLE</x:v>
      </x:c>
      <x:c r="L83" s="13" t="str">
        <x:v>Eligible for KP screening</x:v>
      </x:c>
      <x:c r="M83" s="13" t="str">
        <x:v>Proceed to barangay conciliation / mediation screening</x:v>
      </x:c>
      <x:c r="N83" s="13" t="str">
        <x:v>Civil money/property return or small-contract dispute suitable for barangay conciliation if parties meet KP requirements.</x:v>
      </x:c>
      <x:c r="O83" s="13" t="str"/>
      <x:c r="P83" s="13" t="str">
        <x:v>Paglilinaw sa pinagawang kuntador ng Meralco</x:v>
      </x:c>
      <x:c r="Q83" s="13" t="str"/>
      <x:c r="R83" s="13" t="str">
        <x:v>KP CASE PSWT - Sheet1 - KP CASE PSWT - Sheet1.pdf</x:v>
      </x:c>
    </x:row>
    <x:row r="84" ht="36" customHeight="1">
      <x:c r="A84" s="13" t="str">
        <x:v>KP-25-083-PSWT</x:v>
      </x:c>
      <x:c r="B84" s="13" t="str">
        <x:v>threats</x:v>
      </x:c>
      <x:c r="C84" s="13" t="str">
        <x:v>Real PDF</x:v>
      </x:c>
      <x:c r="D84" s="13" t="str">
        <x:v>KP-25-083-PSWT</x:v>
      </x:c>
      <x:c r="E84" s="13" t="str">
        <x:v>Criminal</x:v>
      </x:c>
      <x:c r="F84" s="13" t="str">
        <x:v>PAgbabanta</x:v>
      </x:c>
      <x:c r="G84" s="13" t="str">
        <x:v>September 22, 2025</x:v>
      </x:c>
      <x:c r="H84" s="13" t="str">
        <x:v>-</x:v>
      </x:c>
      <x:c r="I84" s="13" t="str">
        <x:v>Ang ipinagsumbong ay hindi nadating sa araw ng paghaharap kaya't ang maysumbong ay may karapatan ng maghain ng kaukulang reklamo sa kinauukulang tanggapan.</x:v>
      </x:c>
      <x:c r="J84" s="13" t="str">
        <x:v>Endorsed</x:v>
      </x:c>
      <x:c r="K84" s="13" t="str">
        <x:v>KP_COVERED_AMICABLE</x:v>
      </x:c>
      <x:c r="L84" s="13" t="str">
        <x:v>Eligible for KP screening</x:v>
      </x:c>
      <x:c r="M84" s="13" t="str">
        <x:v>Proceed to barangay conciliation / mediation screening</x:v>
      </x:c>
      <x:c r="N84" s="13" t="str">
        <x:v>Threat/harassment dispute; proceed to KP only if minor and no imminent danger or protected-person issue.</x:v>
      </x:c>
      <x:c r="O84" s="13" t="str"/>
      <x:c r="P84" s="13" t="str">
        <x:v>PAgbabanta</x:v>
      </x:c>
      <x:c r="Q84" s="13" t="str"/>
      <x:c r="R84" s="13" t="str">
        <x:v>KP CASE PSWT - Sheet1 - KP CASE PSWT - Sheet1.pdf</x:v>
      </x:c>
    </x:row>
    <x:row r="85" ht="36" customHeight="1">
      <x:c r="A85" s="13" t="str">
        <x:v>KP-25-084-PSWT</x:v>
      </x:c>
      <x:c r="B85" s="13" t="str">
        <x:v>debt</x:v>
      </x:c>
      <x:c r="C85" s="13" t="str">
        <x:v>Real PDF</x:v>
      </x:c>
      <x:c r="D85" s="13" t="str">
        <x:v>KP-25-084-PSWT</x:v>
      </x:c>
      <x:c r="E85" s="13" t="str">
        <x:v>Civil</x:v>
      </x:c>
      <x:c r="F85" s="13" t="str">
        <x:v>Hindi pagbabayad sa utang</x:v>
      </x:c>
      <x:c r="G85" s="13" t="str">
        <x:v>September 22, 2025</x:v>
      </x:c>
      <x:c r="H85" s="13" t="str">
        <x:v>October 3, 2025</x:v>
      </x:c>
      <x:c r="I85" s="13" t="str">
        <x:v>Nagkaroon ng pagkakasundo at nangako ang ipinagsumbong na maghuhulog siya ng P300 para sa maysumbong. Magsisismula sa October 5, 2025.</x:v>
      </x:c>
      <x:c r="J85" s="13" t="str">
        <x:v>Settled</x:v>
      </x:c>
      <x:c r="K85" s="13" t="str">
        <x:v>KP_COVERED_AMICABLE</x:v>
      </x:c>
      <x:c r="L85" s="13" t="str">
        <x:v>Eligible for KP screening</x:v>
      </x:c>
      <x:c r="M85" s="13" t="str">
        <x:v>Proceed to barangay conciliation / mediation screening</x:v>
      </x:c>
      <x:c r="N85" s="13" t="str">
        <x:v>Civil money/property return or small-contract dispute suitable for barangay conciliation if parties meet KP requirements.</x:v>
      </x:c>
      <x:c r="O85" s="13" t="str">
        <x:v>P300</x:v>
      </x:c>
      <x:c r="P85" s="13" t="str">
        <x:v>Hindi pagbabayad sa utang</x:v>
      </x:c>
      <x:c r="Q85" s="13" t="str"/>
      <x:c r="R85" s="13" t="str">
        <x:v>KP CASE PSWT - Sheet1 - KP CASE PSWT - Sheet1.pdf</x:v>
      </x:c>
    </x:row>
    <x:row r="86" ht="36" customHeight="1">
      <x:c r="A86" s="13" t="str">
        <x:v>KP-25-085-PSWT</x:v>
      </x:c>
      <x:c r="B86" s="13" t="str">
        <x:v>outside-KP</x:v>
      </x:c>
      <x:c r="C86" s="13" t="str">
        <x:v>Real PDF</x:v>
      </x:c>
      <x:c r="D86" s="13" t="str">
        <x:v>KP-25-085-PSWT</x:v>
      </x:c>
      <x:c r="E86" s="13" t="str">
        <x:v>Criminal</x:v>
      </x:c>
      <x:c r="F86" s="13" t="str">
        <x:v>Paglilinaw sa pmbabato sa bubungan</x:v>
      </x:c>
      <x:c r="G86" s="13" t="str">
        <x:v>October 4, 2025</x:v>
      </x:c>
      <x:c r="H86" s="13" t="str">
        <x:v>October 7, 2025</x:v>
      </x:c>
      <x:c r="I86" s="13" t="str">
        <x:v>Tinatapos na ang usapin.</x:v>
      </x:c>
      <x:c r="J86" s="13" t="str">
        <x:v>Settled</x:v>
      </x:c>
      <x:c r="K86" s="13" t="str">
        <x:v>NON_KP_REVIEW</x:v>
      </x:c>
      <x:c r="L86" s="13" t="str">
        <x:v>Needs legal/KP eligibility review</x:v>
      </x:c>
      <x:c r="M86" s="13" t="str">
        <x:v>Flag for secretary/lupon review before action</x:v>
      </x:c>
      <x:c r="N86" s="13" t="str">
        <x:v>Does not match the covered example categories or needs non-KP/legal review before conciliation.</x:v>
      </x:c>
      <x:c r="O86" s="13" t="str"/>
      <x:c r="P86" s="13" t="str">
        <x:v>Paglilinaw sa pmbabato sa bubungan</x:v>
      </x:c>
      <x:c r="Q86" s="13" t="str"/>
      <x:c r="R86" s="13" t="str">
        <x:v>KP CASE PSWT - Sheet1 - KP CASE PSWT - Sheet1.pdf</x:v>
      </x:c>
    </x:row>
    <x:row r="87" ht="36" customHeight="1">
      <x:c r="A87" s="13" t="str">
        <x:v>KP-25-086-PSWT</x:v>
      </x:c>
      <x:c r="B87" s="13" t="str">
        <x:v>physical injury</x:v>
      </x:c>
      <x:c r="C87" s="13" t="str">
        <x:v>Real PDF</x:v>
      </x:c>
      <x:c r="D87" s="13" t="str">
        <x:v>KP-25-086-PSWT</x:v>
      </x:c>
      <x:c r="E87" s="13" t="str">
        <x:v>Criminal</x:v>
      </x:c>
      <x:c r="F87" s="13" t="str">
        <x:v>Pambabato ng bahay</x:v>
      </x:c>
      <x:c r="G87" s="13" t="str">
        <x:v>October 5, 2025</x:v>
      </x:c>
      <x:c r="H87" s="13" t="str">
        <x:v>October 9, 2025</x:v>
      </x:c>
      <x:c r="I87" s="13" t="str">
        <x:v>Nagkaroon ng pagkakasundo sa dalawang panig. Pakiusap ng maysumbong na huwag magbabanta at ang aso ng ipinagsumbong ay iwasang palabasin para hindi tumae sa harapan ng bahay. Ganoon din ang pakiusap ng ipinagsumbong na huwag maninita ng nakainom at kung may problema ay kausapin siya.</x:v>
      </x:c>
      <x:c r="J87" s="13" t="str">
        <x:v>Settled</x:v>
      </x:c>
      <x:c r="K87" s="13" t="str">
        <x:v>KP_COVERED_AMICABLE</x:v>
      </x:c>
      <x:c r="L87" s="13" t="str">
        <x:v>Eligible for KP screening</x:v>
      </x:c>
      <x:c r="M87" s="13" t="str">
        <x:v>Proceed to barangay conciliation / mediation screening</x:v>
      </x:c>
      <x:c r="N87" s="13" t="str">
        <x:v>Minor physical injury or altercation example; system should still screen severity, weapons, and medical findings.</x:v>
      </x:c>
      <x:c r="O87" s="13" t="str"/>
      <x:c r="P87" s="13" t="str">
        <x:v>Pambabato ng bahay</x:v>
      </x:c>
      <x:c r="Q87" s="13" t="str"/>
      <x:c r="R87" s="13" t="str">
        <x:v>KP CASE PSWT - Sheet1 - KP CASE PSWT - Sheet1.pdf</x:v>
      </x:c>
    </x:row>
    <x:row r="88" ht="36" customHeight="1">
      <x:c r="A88" s="13" t="str">
        <x:v>KP-25-087-PSWT</x:v>
      </x:c>
      <x:c r="B88" s="13" t="str">
        <x:v>debt</x:v>
      </x:c>
      <x:c r="C88" s="13" t="str">
        <x:v>Real PDF</x:v>
      </x:c>
      <x:c r="D88" s="13" t="str">
        <x:v>KP-25-087-PSWT</x:v>
      </x:c>
      <x:c r="E88" s="13" t="str">
        <x:v>Civil</x:v>
      </x:c>
      <x:c r="F88" s="13" t="str">
        <x:v>Hindi pagbabayad sa utang</x:v>
      </x:c>
      <x:c r="G88" s="13" t="str">
        <x:v>October 9, 2025</x:v>
      </x:c>
      <x:c r="H88" s="13" t="str">
        <x:v>October 16, 2025</x:v>
      </x:c>
      <x:c r="I88" s="13" t="str">
        <x:v>Ipaparating ng maysumbong sa boss niya na ang kakayahan ng ipinagsumbong na ang hulog ay P500 tuwing ika-5 at ika-20 ng buwan hanggang matapos ang halagang P4,000. Nagsasbai sa barangay ang maysumbong na pumayag ang boss ng maysumbong sa kakayahan ng ipinagsumbong.</x:v>
      </x:c>
      <x:c r="J88" s="13" t="str">
        <x:v>Settled</x:v>
      </x:c>
      <x:c r="K88" s="13" t="str">
        <x:v>KP_COVERED_AMICABLE</x:v>
      </x:c>
      <x:c r="L88" s="13" t="str">
        <x:v>Eligible for KP screening</x:v>
      </x:c>
      <x:c r="M88" s="13" t="str">
        <x:v>Proceed to barangay conciliation / mediation screening</x:v>
      </x:c>
      <x:c r="N88" s="13" t="str">
        <x:v>Civil money/property return or small-contract dispute suitable for barangay conciliation if parties meet KP requirements.</x:v>
      </x:c>
      <x:c r="O88" s="13" t="str">
        <x:v>P500; P4,000</x:v>
      </x:c>
      <x:c r="P88" s="13" t="str">
        <x:v>Hindi pagbabayad sa utang</x:v>
      </x:c>
      <x:c r="Q88" s="13" t="str"/>
      <x:c r="R88" s="13" t="str">
        <x:v>KP CASE PSWT - Sheet1 - KP CASE PSWT - Sheet1.pdf</x:v>
      </x:c>
    </x:row>
    <x:row r="89" ht="36" customHeight="1">
      <x:c r="A89" s="13" t="str">
        <x:v>KP-25-088-PSWT</x:v>
      </x:c>
      <x:c r="B89" s="13" t="str">
        <x:v>penalty-over-1-year</x:v>
      </x:c>
      <x:c r="C89" s="13" t="str">
        <x:v>Real PDF</x:v>
      </x:c>
      <x:c r="D89" s="13" t="str">
        <x:v>KP-25-088-PSWT</x:v>
      </x:c>
      <x:c r="E89" s="13" t="str">
        <x:v>Criminal</x:v>
      </x:c>
      <x:c r="F89" s="13" t="str">
        <x:v>Libel and falsification of documents</x:v>
      </x:c>
      <x:c r="G89" s="13" t="str">
        <x:v>October 9, 2025</x:v>
      </x:c>
      <x:c r="H89" s="13" t="str">
        <x:v>-</x:v>
      </x:c>
      <x:c r="I89" s="13" t="str">
        <x:v>Ang ipinagsumbong ay hindi nadating sa araw ng paghaharap kaya't ang maysumbong ay may karapatan ng maghain ng kaukulang reklamo sa kinauukulang tanggapan.</x:v>
      </x:c>
      <x:c r="J89" s="13" t="str">
        <x:v>Endorsed</x:v>
      </x:c>
      <x:c r="K89" s="13" t="str">
        <x:v>NON_KP_REFERRAL</x:v>
      </x:c>
      <x:c r="L89" s="13" t="str">
        <x:v>Not KP due to legal threshold or serious offense</x:v>
      </x:c>
      <x:c r="M89" s="13" t="str">
        <x:v>Refer to PNP/prosecutor/court or proper agency</x:v>
      </x:c>
      <x:c r="N89" s="13" t="str">
        <x:v>Nature suggests offense that may exceed KP penalty threshold or requires prosecutor/police/legal review.</x:v>
      </x:c>
      <x:c r="O89" s="13" t="str"/>
      <x:c r="P89" s="13" t="str">
        <x:v>Libel and falsification of documents</x:v>
      </x:c>
      <x:c r="Q89" s="13" t="str"/>
      <x:c r="R89" s="13" t="str">
        <x:v>KP CASE PSWT - Sheet1 - KP CASE PSWT - Sheet1.pdf</x:v>
      </x:c>
    </x:row>
    <x:row r="90" ht="36" customHeight="1">
      <x:c r="A90" s="13" t="str">
        <x:v>KP-25-089-PSWT</x:v>
      </x:c>
      <x:c r="B90" s="13" t="str">
        <x:v>debt</x:v>
      </x:c>
      <x:c r="C90" s="13" t="str">
        <x:v>Real PDF</x:v>
      </x:c>
      <x:c r="D90" s="13" t="str">
        <x:v>KP-25-089-PSWT</x:v>
      </x:c>
      <x:c r="E90" s="13" t="str">
        <x:v>Civil</x:v>
      </x:c>
      <x:c r="F90" s="13" t="str">
        <x:v>Paglilinaw sa utang</x:v>
      </x:c>
      <x:c r="G90" s="13" t="str">
        <x:v>October 9, 2025</x:v>
      </x:c>
      <x:c r="H90" s="13" t="str">
        <x:v>October 21, 2025</x:v>
      </x:c>
      <x:c r="I90" s="13" t="str">
        <x:v>Nagkaroon ng pagkakasundo at nangako ang ipinagsumbong na magbibigay ng P300 tuwing Miyerkules at P400 tuwing Lunes.</x:v>
      </x:c>
      <x:c r="J90" s="13" t="str">
        <x:v>Settled</x:v>
      </x:c>
      <x:c r="K90" s="13" t="str">
        <x:v>KP_COVERED_AMICABLE</x:v>
      </x:c>
      <x:c r="L90" s="13" t="str">
        <x:v>Eligible for KP screening</x:v>
      </x:c>
      <x:c r="M90" s="13" t="str">
        <x:v>Proceed to barangay conciliation / mediation screening</x:v>
      </x:c>
      <x:c r="N90" s="13" t="str">
        <x:v>Civil money/property return or small-contract dispute suitable for barangay conciliation if parties meet KP requirements.</x:v>
      </x:c>
      <x:c r="O90" s="13" t="str">
        <x:v>P300; P400</x:v>
      </x:c>
      <x:c r="P90" s="13" t="str">
        <x:v>Paglilinaw sa utang</x:v>
      </x:c>
      <x:c r="Q90" s="13" t="str"/>
      <x:c r="R90" s="13" t="str">
        <x:v>KP CASE PSWT - Sheet1 - KP CASE PSWT - Sheet1.pdf</x:v>
      </x:c>
    </x:row>
    <x:row r="91" ht="36" customHeight="1">
      <x:c r="A91" s="13" t="str">
        <x:v>KP-25-090-PSWT</x:v>
      </x:c>
      <x:c r="B91" s="13" t="str">
        <x:v>debt</x:v>
      </x:c>
      <x:c r="C91" s="13" t="str">
        <x:v>Real PDF</x:v>
      </x:c>
      <x:c r="D91" s="13" t="str">
        <x:v>KP-25-090-PSWT</x:v>
      </x:c>
      <x:c r="E91" s="13" t="str">
        <x:v>Civil</x:v>
      </x:c>
      <x:c r="F91" s="13" t="str">
        <x:v>Hindi pagbabayad sa utang</x:v>
      </x:c>
      <x:c r="G91" s="13" t="str">
        <x:v>October 10, 2025</x:v>
      </x:c>
      <x:c r="H91" s="13" t="str">
        <x:v>October 17, 2025</x:v>
      </x:c>
      <x:c r="I91" s="13" t="str">
        <x:v>Nagkasundo at nangako ang ipinagsumbong na maghuhulog ng P500 tuwing ika-15 at ika-30 ng buwan. Pakiusap na sana ay tuloy-tuloy na at kapag hindi nakakatupad kukuha ang maysumbong ng endorsement.</x:v>
      </x:c>
      <x:c r="J91" s="13" t="str">
        <x:v>Settled</x:v>
      </x:c>
      <x:c r="K91" s="13" t="str">
        <x:v>KP_COVERED_AMICABLE</x:v>
      </x:c>
      <x:c r="L91" s="13" t="str">
        <x:v>Eligible for KP screening</x:v>
      </x:c>
      <x:c r="M91" s="13" t="str">
        <x:v>Proceed to barangay conciliation / mediation screening</x:v>
      </x:c>
      <x:c r="N91" s="13" t="str">
        <x:v>Civil money/property return or small-contract dispute suitable for barangay conciliation if parties meet KP requirements.</x:v>
      </x:c>
      <x:c r="O91" s="13" t="str">
        <x:v>P500</x:v>
      </x:c>
      <x:c r="P91" s="13" t="str">
        <x:v>Hindi pagbabayad sa utang</x:v>
      </x:c>
      <x:c r="Q91" s="13" t="str"/>
      <x:c r="R91" s="13" t="str">
        <x:v>KP CASE PSWT - Sheet1 - KP CASE PSWT - Sheet1.pdf</x:v>
      </x:c>
    </x:row>
    <x:row r="92" ht="36" customHeight="1">
      <x:c r="A92" s="13" t="str">
        <x:v>KP-25-091-PSWT</x:v>
      </x:c>
      <x:c r="B92" s="13" t="str">
        <x:v>outside-KP</x:v>
      </x:c>
      <x:c r="C92" s="13" t="str">
        <x:v>Real PDF</x:v>
      </x:c>
      <x:c r="D92" s="13" t="str">
        <x:v>KP-25-091-PSWT</x:v>
      </x:c>
      <x:c r="E92" s="13" t="str">
        <x:v>Criminal</x:v>
      </x:c>
      <x:c r="F92" s="13" t="str">
        <x:v>Paninira sa online</x:v>
      </x:c>
      <x:c r="G92" s="13" t="str">
        <x:v>October 13, 2025</x:v>
      </x:c>
      <x:c r="H92" s="13" t="str">
        <x:v>-</x:v>
      </x:c>
      <x:c r="I92" s="13" t="str">
        <x:v>Nagkaroon ng unang patawag subalit ang ipinagsumbong ay hindi nakadating. At sa dahilang ang maysumbong ay nanganak kaya't ang usapin ay nakapending.</x:v>
      </x:c>
      <x:c r="J92" s="13" t="str">
        <x:v>Pending</x:v>
      </x:c>
      <x:c r="K92" s="13" t="str">
        <x:v>NON_KP_REVIEW</x:v>
      </x:c>
      <x:c r="L92" s="13" t="str">
        <x:v>Needs legal/KP eligibility review</x:v>
      </x:c>
      <x:c r="M92" s="13" t="str">
        <x:v>Flag for secretary/lupon review before action</x:v>
      </x:c>
      <x:c r="N92" s="13" t="str">
        <x:v>Does not match the covered example categories or needs non-KP/legal review before conciliation.</x:v>
      </x:c>
      <x:c r="O92" s="13" t="str"/>
      <x:c r="P92" s="13" t="str">
        <x:v>Paninira sa online</x:v>
      </x:c>
      <x:c r="Q92" s="13" t="str"/>
      <x:c r="R92" s="13" t="str">
        <x:v>KP CASE PSWT - Sheet1 - KP CASE PSWT - Sheet1.pdf</x:v>
      </x:c>
    </x:row>
    <x:row r="93" ht="36" customHeight="1">
      <x:c r="A93" s="13" t="str">
        <x:v>KP-25-092-PSWT</x:v>
      </x:c>
      <x:c r="B93" s="13" t="str">
        <x:v>debt</x:v>
      </x:c>
      <x:c r="C93" s="13" t="str">
        <x:v>Real PDF</x:v>
      </x:c>
      <x:c r="D93" s="13" t="str">
        <x:v>KP-25-092-PSWT</x:v>
      </x:c>
      <x:c r="E93" s="13" t="str">
        <x:v>Civil</x:v>
      </x:c>
      <x:c r="F93" s="13" t="str">
        <x:v>Paglilinaw sa mga nakuhang pera</x:v>
      </x:c>
      <x:c r="G93" s="13" t="str">
        <x:v>October 15, 2025</x:v>
      </x:c>
      <x:c r="H93" s="13" t="str">
        <x:v>November 5, 2025</x:v>
      </x:c>
      <x:c r="I93" s="13" t="str">
        <x:v>Nagkaroon ng pagkakaunawaan na magbibigay ang ipinagsumbong ng P3,000 buwan-buwan. Magsisimula sa November, 2025.</x:v>
      </x:c>
      <x:c r="J93" s="13" t="str">
        <x:v>Settled</x:v>
      </x:c>
      <x:c r="K93" s="13" t="str">
        <x:v>KP_COVERED_AMICABLE</x:v>
      </x:c>
      <x:c r="L93" s="13" t="str">
        <x:v>Eligible for KP screening</x:v>
      </x:c>
      <x:c r="M93" s="13" t="str">
        <x:v>Proceed to barangay conciliation / mediation screening</x:v>
      </x:c>
      <x:c r="N93" s="13" t="str">
        <x:v>Civil money/property return or small-contract dispute suitable for barangay conciliation if parties meet KP requirements.</x:v>
      </x:c>
      <x:c r="O93" s="13" t="str">
        <x:v>P3,000</x:v>
      </x:c>
      <x:c r="P93" s="13" t="str">
        <x:v>Paglilinaw sa mga nakuhang pera</x:v>
      </x:c>
      <x:c r="Q93" s="13" t="str"/>
      <x:c r="R93" s="13" t="str">
        <x:v>KP CASE PSWT - Sheet1 - KP CASE PSWT - Sheet1.pdf</x:v>
      </x:c>
    </x:row>
    <x:row r="94" ht="36" customHeight="1">
      <x:c r="A94" s="13" t="str">
        <x:v>KP-25-093-PSWT</x:v>
      </x:c>
      <x:c r="B94" s="13" t="str">
        <x:v>debt</x:v>
      </x:c>
      <x:c r="C94" s="13" t="str">
        <x:v>Real PDF</x:v>
      </x:c>
      <x:c r="D94" s="13" t="str">
        <x:v>KP-25-093-PSWT</x:v>
      </x:c>
      <x:c r="E94" s="13" t="str">
        <x:v>Criminal</x:v>
      </x:c>
      <x:c r="F94" s="13" t="str">
        <x:v>Hindi pagbabayad sa utang</x:v>
      </x:c>
      <x:c r="G94" s="13" t="str">
        <x:v>October 17, 2025</x:v>
      </x:c>
      <x:c r="H94" s="13" t="str">
        <x:v>October 28, 2025</x:v>
      </x:c>
      <x:c r="I94" s="13" t="str">
        <x:v>Nagkasundo at nangako ang ipinagsumbong na magbibigay ng P500 tuwing ika-15 at ikaw-30 ng buwan. Magsisimula sa December, 2025.</x:v>
      </x:c>
      <x:c r="J94" s="13" t="str">
        <x:v>Settled</x:v>
      </x:c>
      <x:c r="K94" s="13" t="str">
        <x:v>KP_COVERED_AMICABLE</x:v>
      </x:c>
      <x:c r="L94" s="13" t="str">
        <x:v>Eligible for KP screening</x:v>
      </x:c>
      <x:c r="M94" s="13" t="str">
        <x:v>Proceed to barangay conciliation / mediation screening</x:v>
      </x:c>
      <x:c r="N94" s="13" t="str">
        <x:v>Civil money/property return or small-contract dispute suitable for barangay conciliation if parties meet KP requirements.</x:v>
      </x:c>
      <x:c r="O94" s="13" t="str">
        <x:v>P500</x:v>
      </x:c>
      <x:c r="P94" s="13" t="str">
        <x:v>Hindi pagbabayad sa utang</x:v>
      </x:c>
      <x:c r="Q94" s="13" t="str"/>
      <x:c r="R94" s="13" t="str">
        <x:v>KP CASE PSWT - Sheet1 - KP CASE PSWT - Sheet1.pdf</x:v>
      </x:c>
    </x:row>
    <x:row r="95" ht="36" customHeight="1">
      <x:c r="A95" s="13" t="str">
        <x:v>KP-25-094-PSWT</x:v>
      </x:c>
      <x:c r="B95" s="13" t="str">
        <x:v>nuisance</x:v>
      </x:c>
      <x:c r="C95" s="13" t="str">
        <x:v>Real PDF</x:v>
      </x:c>
      <x:c r="D95" s="13" t="str">
        <x:v>KP-25-094-PSWT</x:v>
      </x:c>
      <x:c r="E95" s="13" t="str">
        <x:v>Criminal</x:v>
      </x:c>
      <x:c r="F95" s="13" t="str">
        <x:v>Nakakaistorbo sa kapitbahay</x:v>
      </x:c>
      <x:c r="G95" s="13" t="str">
        <x:v>October 27, 2025</x:v>
      </x:c>
      <x:c r="H95" s="13" t="str">
        <x:v>-</x:v>
      </x:c>
      <x:c r="I95" s="13" t="str">
        <x:v>Nagkasundo at pakiusap ng maysumbong na hinaan ang volume kung nagvivideoke at iwasan ang magparada ng sasakyan sa daanan na sagabal. PAkiusap din ng ipinagsumbong na maalis ang kuryente ng maysumbong sa puno at sa poste.</x:v>
      </x:c>
      <x:c r="J95" s="13" t="str">
        <x:v>Settled</x:v>
      </x:c>
      <x:c r="K95" s="13" t="str">
        <x:v>KP_COVERED_AMICABLE</x:v>
      </x:c>
      <x:c r="L95" s="13" t="str">
        <x:v>Eligible for KP screening</x:v>
      </x:c>
      <x:c r="M95" s="13" t="str">
        <x:v>Proceed to barangay conciliation / mediation screening</x:v>
      </x:c>
      <x:c r="N95" s="13" t="str">
        <x:v>Neighbor nuisance issue suitable for barangay mediation if no disqualifying facts are present.</x:v>
      </x:c>
      <x:c r="O95" s="13" t="str"/>
      <x:c r="P95" s="13" t="str">
        <x:v>Nakakaistorbo sa kapitbahay</x:v>
      </x:c>
      <x:c r="Q95" s="13" t="str"/>
      <x:c r="R95" s="13" t="str">
        <x:v>KP CASE PSWT - Sheet1 - KP CASE PSWT - Sheet1.pdf</x:v>
      </x:c>
    </x:row>
    <x:row r="96" ht="36" customHeight="1">
      <x:c r="A96" s="13" t="str">
        <x:v>KP-25-095-PSWT</x:v>
      </x:c>
      <x:c r="B96" s="13" t="str">
        <x:v>outside-KP</x:v>
      </x:c>
      <x:c r="C96" s="13" t="str">
        <x:v>Real PDF</x:v>
      </x:c>
      <x:c r="D96" s="13" t="str">
        <x:v>KP-25-095-PSWT</x:v>
      </x:c>
      <x:c r="E96" s="13" t="str">
        <x:v>Criminal</x:v>
      </x:c>
      <x:c r="F96" s="13" t="str">
        <x:v>Pagkakalat ng chismis</x:v>
      </x:c>
      <x:c r="G96" s="13" t="str">
        <x:v>October 27, 2025</x:v>
      </x:c>
      <x:c r="H96" s="13" t="str">
        <x:v>November 12, 2025</x:v>
      </x:c>
      <x:c r="I96" s="13" t="str">
        <x:v>Nagkaunawaan ang dalawang panig. Pakiusap ng maysumbong na huwag magchismis at huwag pakialaman ang buhay ng iba. Humingi ng pasensya ang ipinagsumbong sa maysumbong.</x:v>
      </x:c>
      <x:c r="J96" s="13" t="str">
        <x:v>Settled</x:v>
      </x:c>
      <x:c r="K96" s="13" t="str">
        <x:v>NON_KP_REVIEW</x:v>
      </x:c>
      <x:c r="L96" s="13" t="str">
        <x:v>Needs legal/KP eligibility review</x:v>
      </x:c>
      <x:c r="M96" s="13" t="str">
        <x:v>Flag for secretary/lupon review before action</x:v>
      </x:c>
      <x:c r="N96" s="13" t="str">
        <x:v>Does not match the covered example categories or needs non-KP/legal review before conciliation.</x:v>
      </x:c>
      <x:c r="O96" s="13" t="str"/>
      <x:c r="P96" s="13" t="str">
        <x:v>Pagkakalat ng chismis</x:v>
      </x:c>
      <x:c r="Q96" s="13" t="str"/>
      <x:c r="R96" s="13" t="str">
        <x:v>KP CASE PSWT - Sheet1 - KP CASE PSWT - Sheet1.pdf</x:v>
      </x:c>
    </x:row>
    <x:row r="97" ht="36" customHeight="1">
      <x:c r="A97" s="13" t="str">
        <x:v>KP-25-096-PSWT</x:v>
      </x:c>
      <x:c r="B97" s="13" t="str">
        <x:v>outside-KP</x:v>
      </x:c>
      <x:c r="C97" s="13" t="str">
        <x:v>Real PDF</x:v>
      </x:c>
      <x:c r="D97" s="13" t="str">
        <x:v>KP-25-096-PSWT</x:v>
      </x:c>
      <x:c r="E97" s="13" t="str">
        <x:v>Criminal</x:v>
      </x:c>
      <x:c r="F97" s="13" t="str">
        <x:v>PAninirang puri</x:v>
      </x:c>
      <x:c r="G97" s="13" t="str">
        <x:v>October 28, 2025</x:v>
      </x:c>
      <x:c r="H97" s="13" t="str">
        <x:v>-</x:v>
      </x:c>
      <x:c r="I97" s="13" t="str">
        <x:v>Nagkaroon ng patawag subalit ang ipinagsumbong ay hindi nadating sa hearing kaya't ang maysumbong ay may karapatan ng maghain ng kaukulang reklamo sa kinauukulang tanggapan.</x:v>
      </x:c>
      <x:c r="J97" s="13" t="str">
        <x:v>Endorsed</x:v>
      </x:c>
      <x:c r="K97" s="13" t="str">
        <x:v>NON_KP_REVIEW</x:v>
      </x:c>
      <x:c r="L97" s="13" t="str">
        <x:v>Needs legal/KP eligibility review</x:v>
      </x:c>
      <x:c r="M97" s="13" t="str">
        <x:v>Flag for secretary/lupon review before action</x:v>
      </x:c>
      <x:c r="N97" s="13" t="str">
        <x:v>Does not match the covered example categories or needs non-KP/legal review before conciliation.</x:v>
      </x:c>
      <x:c r="O97" s="13" t="str"/>
      <x:c r="P97" s="13" t="str">
        <x:v>PAninirang puri</x:v>
      </x:c>
      <x:c r="Q97" s="13" t="str"/>
      <x:c r="R97" s="13" t="str">
        <x:v>KP CASE PSWT - Sheet1 - KP CASE PSWT - Sheet1.pdf</x:v>
      </x:c>
    </x:row>
    <x:row r="98" ht="36" customHeight="1">
      <x:c r="A98" s="13" t="str">
        <x:v>KP-25-097-PSWT</x:v>
      </x:c>
      <x:c r="B98" s="13" t="str">
        <x:v>threats</x:v>
      </x:c>
      <x:c r="C98" s="13" t="str">
        <x:v>Real PDF</x:v>
      </x:c>
      <x:c r="D98" s="13" t="str">
        <x:v>KP-25-097-PSWT</x:v>
      </x:c>
      <x:c r="E98" s="13" t="str">
        <x:v>Criminal</x:v>
      </x:c>
      <x:c r="F98" s="13" t="str">
        <x:v>Pagbabanta na susunugin ang bahay</x:v>
      </x:c>
      <x:c r="G98" s="13" t="str">
        <x:v>November 3, 2025</x:v>
      </x:c>
      <x:c r="H98" s="13" t="str">
        <x:v>-</x:v>
      </x:c>
      <x:c r="I98" s="13" t="str">
        <x:v>Nagkaroon ng unang paghaharap subalit walang pagkakasundo. Pangalawa at pangatlong hearing hindi nakarating ang ipinagsumbong kaya't ang maysumbong ay may karapatan ng maghain ng kaukulang reklamo sa kinauukulang tanggapan.</x:v>
      </x:c>
      <x:c r="J98" s="13" t="str">
        <x:v>Endorsed</x:v>
      </x:c>
      <x:c r="K98" s="13" t="str">
        <x:v>KP_COVERED_AMICABLE</x:v>
      </x:c>
      <x:c r="L98" s="13" t="str">
        <x:v>Eligible for KP screening</x:v>
      </x:c>
      <x:c r="M98" s="13" t="str">
        <x:v>Proceed to barangay conciliation / mediation screening</x:v>
      </x:c>
      <x:c r="N98" s="13" t="str">
        <x:v>Threat/harassment dispute; proceed to KP only if minor and no imminent danger or protected-person issue.</x:v>
      </x:c>
      <x:c r="O98" s="13" t="str"/>
      <x:c r="P98" s="13" t="str">
        <x:v>Pagbabanta na susunugin ang bahay</x:v>
      </x:c>
      <x:c r="Q98" s="13" t="str"/>
      <x:c r="R98" s="13" t="str">
        <x:v>KP CASE PSWT - Sheet1 - KP CASE PSWT - Sheet1.pdf</x:v>
      </x:c>
    </x:row>
    <x:row r="99" ht="36" customHeight="1">
      <x:c r="A99" s="13" t="str">
        <x:v>KP-25-098-PSWT</x:v>
      </x:c>
      <x:c r="B99" s="13" t="str">
        <x:v>debt</x:v>
      </x:c>
      <x:c r="C99" s="13" t="str">
        <x:v>Real PDF</x:v>
      </x:c>
      <x:c r="D99" s="13" t="str">
        <x:v>KP-25-098-PSWT</x:v>
      </x:c>
      <x:c r="E99" s="13" t="str">
        <x:v>Civil</x:v>
      </x:c>
      <x:c r="F99" s="13" t="str">
        <x:v>Paglilinaw sa utang</x:v>
      </x:c>
      <x:c r="G99" s="13" t="str">
        <x:v>November 4, 2025</x:v>
      </x:c>
      <x:c r="H99" s="13" t="str">
        <x:v>-</x:v>
      </x:c>
      <x:c r="I99" s="13" t="str">
        <x:v>Walang pagkakasundo sa dalawang panig. Nagsabi ang bawat isa na sila ay willing magbyad subalit hindi kaya ang P600 linggo-linggo.</x:v>
      </x:c>
      <x:c r="J99" s="13" t="str">
        <x:v>Pending</x:v>
      </x:c>
      <x:c r="K99" s="13" t="str">
        <x:v>KP_COVERED_AMICABLE</x:v>
      </x:c>
      <x:c r="L99" s="13" t="str">
        <x:v>Eligible for KP screening</x:v>
      </x:c>
      <x:c r="M99" s="13" t="str">
        <x:v>Proceed to barangay conciliation / mediation screening</x:v>
      </x:c>
      <x:c r="N99" s="13" t="str">
        <x:v>Civil money/property return or small-contract dispute suitable for barangay conciliation if parties meet KP requirements.</x:v>
      </x:c>
      <x:c r="O99" s="13" t="str">
        <x:v>P600</x:v>
      </x:c>
      <x:c r="P99" s="13" t="str">
        <x:v>Paglilinaw sa utang</x:v>
      </x:c>
      <x:c r="Q99" s="13" t="str"/>
      <x:c r="R99" s="13" t="str">
        <x:v>KP CASE PSWT - Sheet1 - KP CASE PSWT - Sheet1.pdf</x:v>
      </x:c>
    </x:row>
    <x:row r="100" ht="36" customHeight="1">
      <x:c r="A100" s="13" t="str">
        <x:v>KP-25-099-PSWT</x:v>
      </x:c>
      <x:c r="B100" s="13" t="str">
        <x:v>debt</x:v>
      </x:c>
      <x:c r="C100" s="13" t="str">
        <x:v>Real PDF</x:v>
      </x:c>
      <x:c r="D100" s="13" t="str">
        <x:v>KP-25-099-PSWT</x:v>
      </x:c>
      <x:c r="E100" s="13" t="str">
        <x:v>Civil</x:v>
      </x:c>
      <x:c r="F100" s="13" t="str">
        <x:v>Hindi pagbabayad sa utang</x:v>
      </x:c>
      <x:c r="G100" s="13" t="str">
        <x:v>November 4, 2025</x:v>
      </x:c>
      <x:c r="H100" s="13" t="str">
        <x:v>-</x:v>
      </x:c>
      <x:c r="I100" s="13" t="str">
        <x:v>Nagkaroon ng pagkakaunawaan at nangako ang ipinagsumbong na magbabayad hanggang katapusan ng November, 2025.</x:v>
      </x:c>
      <x:c r="J100" s="13" t="str">
        <x:v>Settled</x:v>
      </x:c>
      <x:c r="K100" s="13" t="str">
        <x:v>KP_COVERED_AMICABLE</x:v>
      </x:c>
      <x:c r="L100" s="13" t="str">
        <x:v>Eligible for KP screening</x:v>
      </x:c>
      <x:c r="M100" s="13" t="str">
        <x:v>Proceed to barangay conciliation / mediation screening</x:v>
      </x:c>
      <x:c r="N100" s="13" t="str">
        <x:v>Civil money/property return or small-contract dispute suitable for barangay conciliation if parties meet KP requirements.</x:v>
      </x:c>
      <x:c r="O100" s="13" t="str"/>
      <x:c r="P100" s="13" t="str">
        <x:v>Hindi pagbabayad sa utang</x:v>
      </x:c>
      <x:c r="Q100" s="13" t="str"/>
      <x:c r="R100" s="13" t="str">
        <x:v>KP CASE PSWT - Sheet1 - KP CASE PSWT - Sheet1.pdf</x:v>
      </x:c>
    </x:row>
    <x:row r="101" ht="36" customHeight="1">
      <x:c r="A101" s="13" t="str">
        <x:v>KP-25-100-PSWT</x:v>
      </x:c>
      <x:c r="B101" s="13" t="str">
        <x:v>debt</x:v>
      </x:c>
      <x:c r="C101" s="13" t="str">
        <x:v>Real PDF</x:v>
      </x:c>
      <x:c r="D101" s="13" t="str">
        <x:v>KP-25-100-PSWT</x:v>
      </x:c>
      <x:c r="E101" s="13" t="str">
        <x:v>Civil</x:v>
      </x:c>
      <x:c r="F101" s="13" t="str">
        <x:v>Hindi pagbabayad sa utang</x:v>
      </x:c>
      <x:c r="G101" s="13" t="str">
        <x:v>November 4, 2025</x:v>
      </x:c>
      <x:c r="H101" s="13" t="str">
        <x:v>November 7, 2025</x:v>
      </x:c>
      <x:c r="I101" s="13" t="str">
        <x:v>Nagkasundo na ang ipinagsumbong ay maghuhulog ng P300 tuwing Linggo para sa may sumbong at P300 para sa isa pang maysumbong tuwing Biyernes. Nagkasundo ang maysumbong at ipinagsumbong na ang utang na P28,800 ay huhulugan ng P600 linggo-linggo tuwing Lunes. Magsisimula ang hulog sa November 10, 2025.</x:v>
      </x:c>
      <x:c r="J101" s="13" t="str">
        <x:v>Settled</x:v>
      </x:c>
      <x:c r="K101" s="13" t="str">
        <x:v>KP_COVERED_AMICABLE</x:v>
      </x:c>
      <x:c r="L101" s="13" t="str">
        <x:v>Eligible for KP screening</x:v>
      </x:c>
      <x:c r="M101" s="13" t="str">
        <x:v>Proceed to barangay conciliation / mediation screening</x:v>
      </x:c>
      <x:c r="N101" s="13" t="str">
        <x:v>Civil money/property return or small-contract dispute suitable for barangay conciliation if parties meet KP requirements.</x:v>
      </x:c>
      <x:c r="O101" s="13" t="str">
        <x:v>P300; P300; P28,800; P600</x:v>
      </x:c>
      <x:c r="P101" s="13" t="str">
        <x:v>Hindi pagbabayad sa utang</x:v>
      </x:c>
      <x:c r="Q101" s="13" t="str"/>
      <x:c r="R101" s="13" t="str">
        <x:v>KP CASE PSWT - Sheet1 - KP CASE PSWT - Sheet1.pdf</x:v>
      </x:c>
    </x:row>
    <x:row r="102" ht="36" customHeight="1">
      <x:c r="A102" s="13" t="str">
        <x:v>KP-25-101-PSWT</x:v>
      </x:c>
      <x:c r="B102" s="13" t="str">
        <x:v>debt</x:v>
      </x:c>
      <x:c r="C102" s="13" t="str">
        <x:v>Real PDF</x:v>
      </x:c>
      <x:c r="D102" s="13" t="str">
        <x:v>KP-25-101-PSWT</x:v>
      </x:c>
      <x:c r="E102" s="13" t="str">
        <x:v>Civil</x:v>
      </x:c>
      <x:c r="F102" s="13" t="str">
        <x:v>Hindi pagbabayad sa upa ng bahay</x:v>
      </x:c>
      <x:c r="G102" s="13" t="str">
        <x:v>November 15, 2025</x:v>
      </x:c>
      <x:c r="H102" s="13" t="str">
        <x:v>-</x:v>
      </x:c>
      <x:c r="I102" s="13" t="str">
        <x:v>Hindi nadating ang ipinagsumbong sa tatlong patawag kaya't ang maysumbong ay may karapatan ng maghain ng kaukulang reklamo sa kinauukulang tanggapan.</x:v>
      </x:c>
      <x:c r="J102" s="13" t="str">
        <x:v>Endorsed</x:v>
      </x:c>
      <x:c r="K102" s="13" t="str">
        <x:v>KP_COVERED_AMICABLE</x:v>
      </x:c>
      <x:c r="L102" s="13" t="str">
        <x:v>Eligible for KP screening</x:v>
      </x:c>
      <x:c r="M102" s="13" t="str">
        <x:v>Proceed to barangay conciliation / mediation screening</x:v>
      </x:c>
      <x:c r="N102" s="13" t="str">
        <x:v>Civil money/property return or small-contract dispute suitable for barangay conciliation if parties meet KP requirements.</x:v>
      </x:c>
      <x:c r="O102" s="13" t="str"/>
      <x:c r="P102" s="13" t="str">
        <x:v>Hindi pagbabayad sa upa ng bahay</x:v>
      </x:c>
      <x:c r="Q102" s="13" t="str"/>
      <x:c r="R102" s="13" t="str">
        <x:v>KP CASE PSWT - Sheet1 - KP CASE PSWT - Sheet1.pdf</x:v>
      </x:c>
    </x:row>
    <x:row r="103" ht="36" customHeight="1">
      <x:c r="A103" s="13" t="str">
        <x:v>KP-25-102-PSWT</x:v>
      </x:c>
      <x:c r="B103" s="13" t="str">
        <x:v>threats</x:v>
      </x:c>
      <x:c r="C103" s="13" t="str">
        <x:v>Real PDF</x:v>
      </x:c>
      <x:c r="D103" s="13" t="str">
        <x:v>KP-25-102-PSWT</x:v>
      </x:c>
      <x:c r="E103" s="13" t="str">
        <x:v>Criminal</x:v>
      </x:c>
      <x:c r="F103" s="13" t="str">
        <x:v>Pagbabanta at pambubully</x:v>
      </x:c>
      <x:c r="G103" s="13" t="str">
        <x:v>November 14, 2025</x:v>
      </x:c>
      <x:c r="H103" s="13" t="str">
        <x:v>-</x:v>
      </x:c>
      <x:c r="I103" s="13" t="str">
        <x:v>Walang pagkakasundo ang maysumbong ay hindi na bumalik.</x:v>
      </x:c>
      <x:c r="J103" s="13" t="str">
        <x:v>Dismiss</x:v>
      </x:c>
      <x:c r="K103" s="13" t="str">
        <x:v>KP_COVERED_AMICABLE</x:v>
      </x:c>
      <x:c r="L103" s="13" t="str">
        <x:v>Eligible for KP screening</x:v>
      </x:c>
      <x:c r="M103" s="13" t="str">
        <x:v>Proceed to barangay conciliation / mediation screening</x:v>
      </x:c>
      <x:c r="N103" s="13" t="str">
        <x:v>Threat/harassment dispute; proceed to KP only if minor and no imminent danger or protected-person issue.</x:v>
      </x:c>
      <x:c r="O103" s="13" t="str"/>
      <x:c r="P103" s="13" t="str">
        <x:v>Pagbabanta at pambubully</x:v>
      </x:c>
      <x:c r="Q103" s="13" t="str"/>
      <x:c r="R103" s="13" t="str">
        <x:v>KP CASE PSWT - Sheet1 - KP CASE PSWT - Sheet1.pdf</x:v>
      </x:c>
    </x:row>
    <x:row r="104" ht="36" customHeight="1">
      <x:c r="A104" s="13" t="str">
        <x:v>KP-25-103-PSWT</x:v>
      </x:c>
      <x:c r="B104" s="13" t="str">
        <x:v>physical injury</x:v>
      </x:c>
      <x:c r="C104" s="13" t="str">
        <x:v>Real PDF</x:v>
      </x:c>
      <x:c r="D104" s="13" t="str">
        <x:v>KP-25-103-PSWT</x:v>
      </x:c>
      <x:c r="E104" s="13" t="str">
        <x:v>Criminal</x:v>
      </x:c>
      <x:c r="F104" s="13" t="str">
        <x:v>Pagmumura at pananakit</x:v>
      </x:c>
      <x:c r="G104" s="13" t="str">
        <x:v>November 17, 2025</x:v>
      </x:c>
      <x:c r="H104" s="13" t="str">
        <x:v>November 18, 2025</x:v>
      </x:c>
      <x:c r="I104" s="13" t="str">
        <x:v>Nagkaroon ng pagkakaunawaan at nangako ang bawait isa na mag-iiwasan na lang upang hindi na maulit ang nangyari. Tinatapos na ang usapin.</x:v>
      </x:c>
      <x:c r="J104" s="13" t="str">
        <x:v>Settled</x:v>
      </x:c>
      <x:c r="K104" s="13" t="str">
        <x:v>KP_COVERED_AMICABLE</x:v>
      </x:c>
      <x:c r="L104" s="13" t="str">
        <x:v>Eligible for KP screening</x:v>
      </x:c>
      <x:c r="M104" s="13" t="str">
        <x:v>Proceed to barangay conciliation / mediation screening</x:v>
      </x:c>
      <x:c r="N104" s="13" t="str">
        <x:v>Minor physical injury or altercation example; system should still screen severity, weapons, and medical findings.</x:v>
      </x:c>
      <x:c r="O104" s="13" t="str"/>
      <x:c r="P104" s="13" t="str">
        <x:v>Pagmumura at pananakit</x:v>
      </x:c>
      <x:c r="Q104" s="13" t="str"/>
      <x:c r="R104" s="13" t="str">
        <x:v>KP CASE PSWT - Sheet1 - KP CASE PSWT - Sheet1.pdf</x:v>
      </x:c>
    </x:row>
    <x:row r="105" ht="36" customHeight="1">
      <x:c r="A105" s="13" t="str">
        <x:v>KP-25-104-PSWT</x:v>
      </x:c>
      <x:c r="B105" s="13" t="str">
        <x:v>physical injury</x:v>
      </x:c>
      <x:c r="C105" s="13" t="str">
        <x:v>Real PDF</x:v>
      </x:c>
      <x:c r="D105" s="13" t="str">
        <x:v>KP-25-104-PSWT</x:v>
      </x:c>
      <x:c r="E105" s="13" t="str">
        <x:v>Criminal</x:v>
      </x:c>
      <x:c r="F105" s="13" t="str">
        <x:v>Pang-aaway at pagmumura</x:v>
      </x:c>
      <x:c r="G105" s="13" t="str">
        <x:v>November 18, 2025</x:v>
      </x:c>
      <x:c r="H105" s="13" t="str">
        <x:v>-</x:v>
      </x:c>
      <x:c r="I105" s="13" t="str">
        <x:v>Nagkaroon ng paglilinaw kaya't ang bawat isa ay humingi ng pasensya. Sinabi ng ipinagsumbong na hihingi din siya ng pasensya sa ama ng maysumbong.</x:v>
      </x:c>
      <x:c r="J105" s="13" t="str">
        <x:v>Settled</x:v>
      </x:c>
      <x:c r="K105" s="13" t="str">
        <x:v>KP_COVERED_AMICABLE</x:v>
      </x:c>
      <x:c r="L105" s="13" t="str">
        <x:v>Eligible for KP screening</x:v>
      </x:c>
      <x:c r="M105" s="13" t="str">
        <x:v>Proceed to barangay conciliation / mediation screening</x:v>
      </x:c>
      <x:c r="N105" s="13" t="str">
        <x:v>Minor physical injury or altercation example; system should still screen severity, weapons, and medical findings.</x:v>
      </x:c>
      <x:c r="O105" s="13" t="str"/>
      <x:c r="P105" s="13" t="str">
        <x:v>Pang-aaway at pagmumura</x:v>
      </x:c>
      <x:c r="Q105" s="13" t="str"/>
      <x:c r="R105" s="13" t="str">
        <x:v>KP CASE PSWT - Sheet1 - KP CASE PSWT - Sheet1.pdf</x:v>
      </x:c>
    </x:row>
    <x:row r="106" ht="36" customHeight="1">
      <x:c r="A106" s="13" t="str">
        <x:v>KP-25-105-PSWT</x:v>
      </x:c>
      <x:c r="B106" s="13" t="str">
        <x:v>debt</x:v>
      </x:c>
      <x:c r="C106" s="13" t="str">
        <x:v>Real PDF</x:v>
      </x:c>
      <x:c r="D106" s="13" t="str">
        <x:v>KP-25-105-PSWT</x:v>
      </x:c>
      <x:c r="E106" s="13" t="str">
        <x:v>Civil</x:v>
      </x:c>
      <x:c r="F106" s="13" t="str">
        <x:v>Hindi paghuhulog sa utang</x:v>
      </x:c>
      <x:c r="G106" s="13" t="str">
        <x:v>November 19, 2025</x:v>
      </x:c>
      <x:c r="H106" s="13" t="str">
        <x:v>November 26, 2025</x:v>
      </x:c>
      <x:c r="I106" s="13" t="str">
        <x:v>Sila ay nagkasundo na maghuhulog ang ipinagsumbong ng P4,000 buwan-buwan. Magsisimula siya ng November, 2025. Nakapagbigay siya ng P4, 000 sa bahay maysumbong.</x:v>
      </x:c>
      <x:c r="J106" s="13" t="str">
        <x:v>Settled</x:v>
      </x:c>
      <x:c r="K106" s="13" t="str">
        <x:v>KP_COVERED_AMICABLE</x:v>
      </x:c>
      <x:c r="L106" s="13" t="str">
        <x:v>Eligible for KP screening</x:v>
      </x:c>
      <x:c r="M106" s="13" t="str">
        <x:v>Proceed to barangay conciliation / mediation screening</x:v>
      </x:c>
      <x:c r="N106" s="13" t="str">
        <x:v>Civil money/property return or small-contract dispute suitable for barangay conciliation if parties meet KP requirements.</x:v>
      </x:c>
      <x:c r="O106" s="13" t="str">
        <x:v>P4,000; P4,</x:v>
      </x:c>
      <x:c r="P106" s="13" t="str">
        <x:v>Hindi paghuhulog sa utang</x:v>
      </x:c>
      <x:c r="Q106" s="13" t="str"/>
      <x:c r="R106" s="13" t="str">
        <x:v>KP CASE PSWT - Sheet1 - KP CASE PSWT - Sheet1.pdf</x:v>
      </x:c>
    </x:row>
    <x:row r="107" ht="36" customHeight="1">
      <x:c r="A107" s="13" t="str">
        <x:v>KP-25-106-PSWT</x:v>
      </x:c>
      <x:c r="B107" s="13" t="str">
        <x:v>outside-KP</x:v>
      </x:c>
      <x:c r="C107" s="13" t="str">
        <x:v>Real PDF</x:v>
      </x:c>
      <x:c r="D107" s="13" t="str">
        <x:v>KP-25-106-PSWT</x:v>
      </x:c>
      <x:c r="E107" s="13" t="str">
        <x:v>Criminal</x:v>
      </x:c>
      <x:c r="F107" s="13" t="str">
        <x:v>Paninirang puri</x:v>
      </x:c>
      <x:c r="G107" s="13" t="str">
        <x:v>November 20, 2025</x:v>
      </x:c>
      <x:c r="H107" s="13" t="str">
        <x:v>-</x:v>
      </x:c>
      <x:c r="I107" s="13" t="str">
        <x:v>Walang pagkakasundo sa dalawang panig kaya't ang maysumbong ay may karapatan ng maghain ng kaukulang reklamo sa kinauukulang tanggapan.</x:v>
      </x:c>
      <x:c r="J107" s="13" t="str">
        <x:v>Endorsed</x:v>
      </x:c>
      <x:c r="K107" s="13" t="str">
        <x:v>NON_KP_REVIEW</x:v>
      </x:c>
      <x:c r="L107" s="13" t="str">
        <x:v>Needs legal/KP eligibility review</x:v>
      </x:c>
      <x:c r="M107" s="13" t="str">
        <x:v>Flag for secretary/lupon review before action</x:v>
      </x:c>
      <x:c r="N107" s="13" t="str">
        <x:v>Does not match the covered example categories or needs non-KP/legal review before conciliation.</x:v>
      </x:c>
      <x:c r="O107" s="13" t="str"/>
      <x:c r="P107" s="13" t="str">
        <x:v>Paninirang puri</x:v>
      </x:c>
      <x:c r="Q107" s="13" t="str"/>
      <x:c r="R107" s="13" t="str">
        <x:v>KP CASE PSWT - Sheet1 - KP CASE PSWT - Sheet1.pdf</x:v>
      </x:c>
    </x:row>
    <x:row r="108" ht="36" customHeight="1">
      <x:c r="A108" s="13" t="str">
        <x:v>KP-25-107-PSWT</x:v>
      </x:c>
      <x:c r="B108" s="13" t="str">
        <x:v>debt</x:v>
      </x:c>
      <x:c r="C108" s="13" t="str">
        <x:v>Real PDF</x:v>
      </x:c>
      <x:c r="D108" s="13" t="str">
        <x:v>KP-25-107-PSWT</x:v>
      </x:c>
      <x:c r="E108" s="13" t="str">
        <x:v>Civil</x:v>
      </x:c>
      <x:c r="F108" s="13" t="str">
        <x:v>Paglilinaw sa isinanlang rehistro ng tricycle</x:v>
      </x:c>
      <x:c r="G108" s="13" t="str">
        <x:v>November 28, 2025</x:v>
      </x:c>
      <x:c r="H108" s="13" t="str">
        <x:v>December 4, 2025</x:v>
      </x:c>
      <x:c r="I108" s="13" t="str">
        <x:v>Nagkaroon ng pagkakasundo at nangako ang ipinagsumbong na magbibigay nng P700 kada dalawang linngo. Mag-uumpisa magbigay sa December 19, 2025.</x:v>
      </x:c>
      <x:c r="J108" s="13" t="str">
        <x:v>Settled</x:v>
      </x:c>
      <x:c r="K108" s="13" t="str">
        <x:v>KP_COVERED_AMICABLE</x:v>
      </x:c>
      <x:c r="L108" s="13" t="str">
        <x:v>Eligible for KP screening</x:v>
      </x:c>
      <x:c r="M108" s="13" t="str">
        <x:v>Proceed to barangay conciliation / mediation screening</x:v>
      </x:c>
      <x:c r="N108" s="13" t="str">
        <x:v>Civil money/property return or small-contract dispute suitable for barangay conciliation if parties meet KP requirements.</x:v>
      </x:c>
      <x:c r="O108" s="13" t="str">
        <x:v>P700</x:v>
      </x:c>
      <x:c r="P108" s="13" t="str">
        <x:v>Paglilinaw sa isinanlang rehistro ng tricycle</x:v>
      </x:c>
      <x:c r="Q108" s="13" t="str"/>
      <x:c r="R108" s="13" t="str">
        <x:v>KP CASE PSWT - Sheet1 - KP CASE PSWT - Sheet1.pdf</x:v>
      </x:c>
    </x:row>
    <x:row r="109" ht="36" customHeight="1">
      <x:c r="A109" s="13" t="str">
        <x:v>KP-25-108-PSWT</x:v>
      </x:c>
      <x:c r="B109" s="13" t="str">
        <x:v>nuisance</x:v>
      </x:c>
      <x:c r="C109" s="13" t="str">
        <x:v>Real PDF</x:v>
      </x:c>
      <x:c r="D109" s="13" t="str">
        <x:v>KP-25-108-PSWT</x:v>
      </x:c>
      <x:c r="E109" s="13" t="str">
        <x:v>Criminal</x:v>
      </x:c>
      <x:c r="F109" s="13" t="str">
        <x:v>Pag-iingay sa dis-oras ng gabi</x:v>
      </x:c>
      <x:c r="G109" s="13" t="str">
        <x:v>December 5, 2025</x:v>
      </x:c>
      <x:c r="H109" s="13" t="str">
        <x:v>January 7, 2026</x:v>
      </x:c>
      <x:c r="I109" s="13" t="str">
        <x:v>Nagkaroon ng pagkakasundo sa dalawang panig, iiwasan na lang ang pag-iinom sa lugar.</x:v>
      </x:c>
      <x:c r="J109" s="13" t="str">
        <x:v>Settled</x:v>
      </x:c>
      <x:c r="K109" s="13" t="str">
        <x:v>KP_COVERED_AMICABLE</x:v>
      </x:c>
      <x:c r="L109" s="13" t="str">
        <x:v>Eligible for KP screening</x:v>
      </x:c>
      <x:c r="M109" s="13" t="str">
        <x:v>Proceed to barangay conciliation / mediation screening</x:v>
      </x:c>
      <x:c r="N109" s="13" t="str">
        <x:v>Neighbor nuisance issue suitable for barangay mediation if no disqualifying facts are present.</x:v>
      </x:c>
      <x:c r="O109" s="13" t="str"/>
      <x:c r="P109" s="13" t="str">
        <x:v>Pag-iingay sa dis-oras ng gabi</x:v>
      </x:c>
      <x:c r="Q109" s="13" t="str"/>
      <x:c r="R109" s="13" t="str">
        <x:v>KP CASE PSWT - Sheet1 - KP CASE PSWT - Sheet1.pdf</x:v>
      </x:c>
    </x:row>
    <x:row r="110" ht="36" customHeight="1">
      <x:c r="A110" s="13" t="str">
        <x:v>KP-25-109-PSWT</x:v>
      </x:c>
      <x:c r="B110" s="13" t="str">
        <x:v>physical injury</x:v>
      </x:c>
      <x:c r="C110" s="13" t="str">
        <x:v>Real PDF</x:v>
      </x:c>
      <x:c r="D110" s="13" t="str">
        <x:v>KP-25-109-PSWT</x:v>
      </x:c>
      <x:c r="E110" s="13" t="str">
        <x:v>Criminal</x:v>
      </x:c>
      <x:c r="F110" s="13" t="str">
        <x:v>Panununtok</x:v>
      </x:c>
      <x:c r="G110" s="13" t="str">
        <x:v>December 8, 2025</x:v>
      </x:c>
      <x:c r="H110" s="13" t="str">
        <x:v>-</x:v>
      </x:c>
      <x:c r="I110" s="13" t="str">
        <x:v>Ang ipinagsumbong ay hindi dumadating sa oras ng paghaharap at hindi na din bumalik ang maysumbong.</x:v>
      </x:c>
      <x:c r="J110" s="13" t="str">
        <x:v>Dismiss</x:v>
      </x:c>
      <x:c r="K110" s="13" t="str">
        <x:v>KP_COVERED_AMICABLE</x:v>
      </x:c>
      <x:c r="L110" s="13" t="str">
        <x:v>Eligible for KP screening</x:v>
      </x:c>
      <x:c r="M110" s="13" t="str">
        <x:v>Proceed to barangay conciliation / mediation screening</x:v>
      </x:c>
      <x:c r="N110" s="13" t="str">
        <x:v>Minor physical injury or altercation example; system should still screen severity, weapons, and medical findings.</x:v>
      </x:c>
      <x:c r="O110" s="13" t="str"/>
      <x:c r="P110" s="13" t="str">
        <x:v>Panununtok</x:v>
      </x:c>
      <x:c r="Q110" s="13" t="str"/>
      <x:c r="R110" s="13" t="str">
        <x:v>KP CASE PSWT - Sheet1 - KP CASE PSWT - Sheet1.pdf</x:v>
      </x:c>
    </x:row>
    <x:row r="111" ht="36" customHeight="1">
      <x:c r="A111" s="13" t="str">
        <x:v>KP-25-110-PSWT</x:v>
      </x:c>
      <x:c r="B111" s="13" t="str">
        <x:v>nuisance</x:v>
      </x:c>
      <x:c r="C111" s="13" t="str">
        <x:v>Real PDF</x:v>
      </x:c>
      <x:c r="D111" s="13" t="str">
        <x:v>KP-25-110-PSWT</x:v>
      </x:c>
      <x:c r="E111" s="13" t="str">
        <x:v>Criminal</x:v>
      </x:c>
      <x:c r="F111" s="13" t="str">
        <x:v>Nakakaperwisyong ingay at amoy ng manok</x:v>
      </x:c>
      <x:c r="G111" s="13" t="str">
        <x:v>December 12, 2025</x:v>
      </x:c>
      <x:c r="H111" s="13" t="str">
        <x:v>-</x:v>
      </x:c>
      <x:c r="I111" s="13" t="str">
        <x:v>Nagkaroon ng unang paghaharap subalit sa pangalawa at pangatlong paghaharap ay hindi na dumating ang maysumbong.</x:v>
      </x:c>
      <x:c r="J111" s="13" t="str">
        <x:v>Dismiss</x:v>
      </x:c>
      <x:c r="K111" s="13" t="str">
        <x:v>KP_COVERED_AMICABLE</x:v>
      </x:c>
      <x:c r="L111" s="13" t="str">
        <x:v>Eligible for KP screening</x:v>
      </x:c>
      <x:c r="M111" s="13" t="str">
        <x:v>Proceed to barangay conciliation / mediation screening</x:v>
      </x:c>
      <x:c r="N111" s="13" t="str">
        <x:v>Neighbor nuisance issue suitable for barangay mediation if no disqualifying facts are present.</x:v>
      </x:c>
      <x:c r="O111" s="13" t="str"/>
      <x:c r="P111" s="13" t="str">
        <x:v>Nakakaperwisyong ingay at amoy ng manok</x:v>
      </x:c>
      <x:c r="Q111" s="13" t="str"/>
      <x:c r="R111" s="13" t="str">
        <x:v>KP CASE PSWT - Sheet1 - KP CASE PSWT - Sheet1.pdf</x:v>
      </x:c>
    </x:row>
    <x:row r="112" ht="36" customHeight="1">
      <x:c r="A112" s="13" t="str">
        <x:v>KP-25-111-PSWT</x:v>
      </x:c>
      <x:c r="B112" s="13" t="str">
        <x:v>debt</x:v>
      </x:c>
      <x:c r="C112" s="13" t="str">
        <x:v>Real PDF</x:v>
      </x:c>
      <x:c r="D112" s="13" t="str">
        <x:v>KP-25-111-PSWT</x:v>
      </x:c>
      <x:c r="E112" s="13" t="str">
        <x:v>Civil</x:v>
      </x:c>
      <x:c r="F112" s="13" t="str">
        <x:v>Hindi pagbabayad ng utang</x:v>
      </x:c>
      <x:c r="G112" s="13" t="str">
        <x:v>December 10, 2025</x:v>
      </x:c>
      <x:c r="H112" s="13" t="str">
        <x:v>-</x:v>
      </x:c>
      <x:c r="I112" s="13" t="str">
        <x:v>Nagkaroon ng pagkakasundo sa dalawang panig na magbabayad ang ipinagsumbong ng P300 tuwing katapusan hanggang matapos ang halagang P7,000.</x:v>
      </x:c>
      <x:c r="J112" s="13" t="str">
        <x:v>Settled</x:v>
      </x:c>
      <x:c r="K112" s="13" t="str">
        <x:v>KP_COVERED_AMICABLE</x:v>
      </x:c>
      <x:c r="L112" s="13" t="str">
        <x:v>Eligible for KP screening</x:v>
      </x:c>
      <x:c r="M112" s="13" t="str">
        <x:v>Proceed to barangay conciliation / mediation screening</x:v>
      </x:c>
      <x:c r="N112" s="13" t="str">
        <x:v>Civil money/property return or small-contract dispute suitable for barangay conciliation if parties meet KP requirements.</x:v>
      </x:c>
      <x:c r="O112" s="13" t="str">
        <x:v>P300; P7,000</x:v>
      </x:c>
      <x:c r="P112" s="13" t="str">
        <x:v>Hindi pagbabayad ng utang</x:v>
      </x:c>
      <x:c r="Q112" s="13" t="str"/>
      <x:c r="R112" s="13" t="str">
        <x:v>KP CASE PSWT - Sheet1 - KP CASE PSWT - Sheet1.pdf</x:v>
      </x:c>
    </x:row>
    <x:row r="113" ht="36" customHeight="1">
      <x:c r="A113" s="13" t="str">
        <x:v>KP-25-112-PSWT</x:v>
      </x:c>
      <x:c r="B113" s="13" t="str">
        <x:v>debt</x:v>
      </x:c>
      <x:c r="C113" s="13" t="str">
        <x:v>Real PDF</x:v>
      </x:c>
      <x:c r="D113" s="13" t="str">
        <x:v>KP-25-112-PSWT</x:v>
      </x:c>
      <x:c r="E113" s="13" t="str">
        <x:v>Civil</x:v>
      </x:c>
      <x:c r="F113" s="13" t="str">
        <x:v>Hindi pagbabayad ng inutang na karne</x:v>
      </x:c>
      <x:c r="G113" s="13" t="str">
        <x:v>December 11, 2025</x:v>
      </x:c>
      <x:c r="H113" s="13" t="str">
        <x:v>January 6, 2026</x:v>
      </x:c>
      <x:c r="I113" s="13" t="str">
        <x:v>Nangako ang ipinagsumbong na magbabayad sa pagloloan sa ASA sa first week ng February.</x:v>
      </x:c>
      <x:c r="J113" s="13" t="str">
        <x:v>Settled</x:v>
      </x:c>
      <x:c r="K113" s="13" t="str">
        <x:v>KP_COVERED_AMICABLE</x:v>
      </x:c>
      <x:c r="L113" s="13" t="str">
        <x:v>Eligible for KP screening</x:v>
      </x:c>
      <x:c r="M113" s="13" t="str">
        <x:v>Proceed to barangay conciliation / mediation screening</x:v>
      </x:c>
      <x:c r="N113" s="13" t="str">
        <x:v>Civil money/property return or small-contract dispute suitable for barangay conciliation if parties meet KP requirements.</x:v>
      </x:c>
      <x:c r="O113" s="13" t="str"/>
      <x:c r="P113" s="13" t="str">
        <x:v>Hindi pagbabayad ng inutang na karne</x:v>
      </x:c>
      <x:c r="Q113" s="13" t="str"/>
      <x:c r="R113" s="13" t="str">
        <x:v>KP CASE PSWT - Sheet1 - KP CASE PSWT - Sheet1.pdf</x:v>
      </x:c>
    </x:row>
    <x:row r="114" ht="36" customHeight="1">
      <x:c r="A114" s="13" t="str">
        <x:v>KP-25-113-PSWT</x:v>
      </x:c>
      <x:c r="B114" s="13" t="str">
        <x:v>debt</x:v>
      </x:c>
      <x:c r="C114" s="13" t="str">
        <x:v>Real PDF</x:v>
      </x:c>
      <x:c r="D114" s="13" t="str">
        <x:v>KP-25-113-PSWT</x:v>
      </x:c>
      <x:c r="E114" s="13" t="str">
        <x:v>Civil</x:v>
      </x:c>
      <x:c r="F114" s="13" t="str">
        <x:v>Hindi pagtupad sa pagbabayad ng utang</x:v>
      </x:c>
      <x:c r="G114" s="13" t="str">
        <x:v>December 13, 2025</x:v>
      </x:c>
      <x:c r="H114" s="13" t="str">
        <x:v>-</x:v>
      </x:c>
      <x:c r="I114" s="13" t="str">
        <x:v>Nangako ang ipinagsumbong na maghuhulog siya ng P1,000 tuwing ikaw-15 at ika-30 ng buwan.</x:v>
      </x:c>
      <x:c r="J114" s="13" t="str">
        <x:v>Settled</x:v>
      </x:c>
      <x:c r="K114" s="13" t="str">
        <x:v>KP_COVERED_AMICABLE</x:v>
      </x:c>
      <x:c r="L114" s="13" t="str">
        <x:v>Eligible for KP screening</x:v>
      </x:c>
      <x:c r="M114" s="13" t="str">
        <x:v>Proceed to barangay conciliation / mediation screening</x:v>
      </x:c>
      <x:c r="N114" s="13" t="str">
        <x:v>Civil money/property return or small-contract dispute suitable for barangay conciliation if parties meet KP requirements.</x:v>
      </x:c>
      <x:c r="O114" s="13" t="str">
        <x:v>P1,000</x:v>
      </x:c>
      <x:c r="P114" s="13" t="str">
        <x:v>Hindi pagtupad sa pagbabayad ng utang</x:v>
      </x:c>
      <x:c r="Q114" s="13" t="str"/>
      <x:c r="R114" s="13" t="str">
        <x:v>KP CASE PSWT - Sheet1 - KP CASE PSWT - Sheet1.pdf</x:v>
      </x:c>
    </x:row>
    <x:row r="115" ht="36" customHeight="1">
      <x:c r="A115" s="13" t="str">
        <x:v>KP-25-114-PSWT</x:v>
      </x:c>
      <x:c r="B115" s="13" t="str">
        <x:v>physical injury</x:v>
      </x:c>
      <x:c r="C115" s="13" t="str">
        <x:v>Real PDF</x:v>
      </x:c>
      <x:c r="D115" s="13" t="str">
        <x:v>KP-25-114-PSWT</x:v>
      </x:c>
      <x:c r="E115" s="13" t="str">
        <x:v>Criminal</x:v>
      </x:c>
      <x:c r="F115" s="13" t="str">
        <x:v>Pananakit</x:v>
      </x:c>
      <x:c r="G115" s="13" t="str">
        <x:v>December 15, 2025</x:v>
      </x:c>
      <x:c r="H115" s="13" t="str">
        <x:v>-</x:v>
      </x:c>
      <x:c r="I115" s="13" t="str">
        <x:v>Nagkaroon ng pagkakaunawaan sa bawat isa. Pakiusap ng maysumbong na kapag nakita sila ng anak ng maysumbong ay huwag namang hahamunin. Ang usapin ay tinatapos na.</x:v>
      </x:c>
      <x:c r="J115" s="13" t="str">
        <x:v>Settled</x:v>
      </x:c>
      <x:c r="K115" s="13" t="str">
        <x:v>KP_COVERED_AMICABLE</x:v>
      </x:c>
      <x:c r="L115" s="13" t="str">
        <x:v>Eligible for KP screening</x:v>
      </x:c>
      <x:c r="M115" s="13" t="str">
        <x:v>Proceed to barangay conciliation / mediation screening</x:v>
      </x:c>
      <x:c r="N115" s="13" t="str">
        <x:v>Minor physical injury or altercation example; system should still screen severity, weapons, and medical findings.</x:v>
      </x:c>
      <x:c r="O115" s="13" t="str"/>
      <x:c r="P115" s="13" t="str">
        <x:v>Pananakit</x:v>
      </x:c>
      <x:c r="Q115" s="13" t="str"/>
      <x:c r="R115" s="13" t="str">
        <x:v>KP CASE PSWT - Sheet1 - KP CASE PSWT - Sheet1.pdf</x:v>
      </x:c>
    </x:row>
  </x:sheetData>
  <x:pageMargins left="0.7" right="0.7" top="0.75" bottom="0.75" header="0.3" footer="0.3"/>
  <x:tableParts count="1">
    <x:tablePart xmlns:r="http://schemas.openxmlformats.org/officeDocument/2006/relationships" r:id="Rf997d2d51cd0405d"/>
  </x:tableParts>
</x:worksheet>
</file>

<file path=xl/worksheets/sheet4.xml><?xml version="1.0" encoding="utf-8"?>
<x:worksheet xmlns:x="http://schemas.openxmlformats.org/spreadsheetml/2006/main">
  <x:sheetFormatPr defaultRowHeight="15"/>
  <x:cols>
    <x:col min="1" max="1" width="24" hidden="0" customWidth="1"/>
    <x:col min="2" max="2" width="30" hidden="0" customWidth="1"/>
    <x:col min="3" max="3" width="32" hidden="0" customWidth="1"/>
    <x:col min="4" max="4" width="42" hidden="0" customWidth="1"/>
    <x:col min="5" max="5" width="60" hidden="0" customWidth="1"/>
  </x:cols>
  <x:sheetData>
    <x:row r="1">
      <x:c r="A1" s="6" t="str">
        <x:v>Field / Type</x:v>
      </x:c>
      <x:c r="B1" s="6" t="str">
        <x:v>Justice KP expected label</x:v>
      </x:c>
      <x:c r="C1" s="6" t="str">
        <x:v>Eligibility meaning</x:v>
      </x:c>
      <x:c r="D1" s="6" t="str">
        <x:v>Recommended system action</x:v>
      </x:c>
      <x:c r="E1" s="6" t="str">
        <x:v>Notes</x:v>
      </x:c>
    </x:row>
    <x:row r="2">
      <x:c r="A2" s="13" t="str">
        <x:v>debt</x:v>
      </x:c>
      <x:c r="B2" s="13" t="str">
        <x:v>KP_COVERED_AMICABLE</x:v>
      </x:c>
      <x:c r="C2" s="13" t="str">
        <x:v>Eligible for KP screening</x:v>
      </x:c>
      <x:c r="D2" s="13" t="str">
        <x:v>Mediation/conciliation if parties meet residency and other KP requirements</x:v>
      </x:c>
      <x:c r="E2" s="13" t="str">
        <x:v>Includes utang, rent, returned money/property, and small civil collection/service issues.</x:v>
      </x:c>
    </x:row>
    <x:row r="3">
      <x:c r="A3" s="13" t="str">
        <x:v>boundary/property</x:v>
      </x:c>
      <x:c r="B3" s="13" t="str">
        <x:v>KP_COVERED_AMICABLE</x:v>
      </x:c>
      <x:c r="C3" s="13" t="str">
        <x:v>Eligible for KP screening</x:v>
      </x:c>
      <x:c r="D3" s="13" t="str">
        <x:v>Mediation/conciliation if local parties and no court case</x:v>
      </x:c>
      <x:c r="E3" s="13" t="str">
        <x:v>Includes land boundary, access road, drainage/tree/property-use conflicts.</x:v>
      </x:c>
    </x:row>
    <x:row r="4">
      <x:c r="A4" s="13" t="str">
        <x:v>nuisance</x:v>
      </x:c>
      <x:c r="B4" s="13" t="str">
        <x:v>KP_COVERED_AMICABLE</x:v>
      </x:c>
      <x:c r="C4" s="13" t="str">
        <x:v>Eligible for KP screening</x:v>
      </x:c>
      <x:c r="D4" s="13" t="str">
        <x:v>Mediation/conciliation with neighbor agreement</x:v>
      </x:c>
      <x:c r="E4" s="13" t="str">
        <x:v>Includes noise, odor, videoke, parking, animal nuisance, and similar neighbor disturbances.</x:v>
      </x:c>
    </x:row>
    <x:row r="5">
      <x:c r="A5" s="13" t="str">
        <x:v>physical injury</x:v>
      </x:c>
      <x:c r="B5" s="13" t="str">
        <x:v>KP_COVERED_AMICABLE</x:v>
      </x:c>
      <x:c r="C5" s="13" t="str">
        <x:v>Eligible only after severity screening</x:v>
      </x:c>
      <x:c r="D5" s="13" t="str">
        <x:v>Screen weapon/medical severity; mediate only if legally eligible</x:v>
      </x:c>
      <x:c r="E5" s="13" t="str">
        <x:v>Minor altercations can be KP-covered; serious injuries/weapons should be referred.</x:v>
      </x:c>
    </x:row>
    <x:row r="6">
      <x:c r="A6" s="13" t="str">
        <x:v>threats</x:v>
      </x:c>
      <x:c r="B6" s="13" t="str">
        <x:v>KP_COVERED_AMICABLE</x:v>
      </x:c>
      <x:c r="C6" s="13" t="str">
        <x:v>Eligible only after safety screening</x:v>
      </x:c>
      <x:c r="D6" s="13" t="str">
        <x:v>Screen imminent danger/protected-person issue; mediate only if legally eligible</x:v>
      </x:c>
      <x:c r="E6" s="13" t="str">
        <x:v>Threats are flagged for safety checks before conciliation.</x:v>
      </x:c>
    </x:row>
    <x:row r="7">
      <x:c r="A7" s="13" t="str">
        <x:v>VAWC/child abuse</x:v>
      </x:c>
      <x:c r="B7" s="13" t="str">
        <x:v>REFER_VAWC_CHILD_PROTECTION</x:v>
      </x:c>
      <x:c r="C7" s="13" t="str">
        <x:v>Not ordinary KP</x:v>
      </x:c>
      <x:c r="D7" s="13" t="str">
        <x:v>Refer to VAWC desk/CSWDO/PNP/proper authority</x:v>
      </x:c>
      <x:c r="E7" s="13" t="str">
        <x:v>Do not mediate as ordinary barangay settlement when protected persons/children are involved.</x:v>
      </x:c>
    </x:row>
    <x:row r="8">
      <x:c r="A8" s="13" t="str">
        <x:v>outside-KP</x:v>
      </x:c>
      <x:c r="B8" s="13" t="str">
        <x:v>NON_KP_REVIEW</x:v>
      </x:c>
      <x:c r="C8" s="13" t="str">
        <x:v>Needs non-KP/legal review</x:v>
      </x:c>
      <x:c r="D8" s="13" t="str">
        <x:v>Route to proper forum or legal review</x:v>
      </x:c>
      <x:c r="E8" s="13" t="str">
        <x:v>Used for matters outside ordinary barangay conciliation or with insufficient KP jurisdiction facts.</x:v>
      </x:c>
    </x:row>
    <x:row r="9">
      <x:c r="A9" s="13" t="str">
        <x:v>government-party</x:v>
      </x:c>
      <x:c r="B9" s="13" t="str">
        <x:v>NON_KP_REFERRAL</x:v>
      </x:c>
      <x:c r="C9" s="13" t="str">
        <x:v>Not KP</x:v>
      </x:c>
      <x:c r="D9" s="13" t="str">
        <x:v>Refer to government grievance/administrative/legal office</x:v>
      </x:c>
      <x:c r="E9" s="13" t="str">
        <x:v>Government office/entity or official acting in official capacity as a party is disqualified from ordinary KP.</x:v>
      </x:c>
    </x:row>
    <x:row r="10">
      <x:c r="A10" s="13" t="str">
        <x:v>already-filed-in-court</x:v>
      </x:c>
      <x:c r="B10" s="13" t="str">
        <x:v>NON_KP_REFERRAL</x:v>
      </x:c>
      <x:c r="C10" s="13" t="str">
        <x:v>Not KP</x:v>
      </x:c>
      <x:c r="D10" s="13" t="str">
        <x:v>Do not docket as new KP mediation</x:v>
      </x:c>
      <x:c r="E10" s="13" t="str">
        <x:v>Existing court/prosecutor filing should not be re-mediated as a new KP case.</x:v>
      </x:c>
    </x:row>
    <x:row r="11">
      <x:c r="A11" s="13" t="str">
        <x:v>penalty-over-1-year</x:v>
      </x:c>
      <x:c r="B11" s="13" t="str">
        <x:v>NON_KP_REFERRAL</x:v>
      </x:c>
      <x:c r="C11" s="13" t="str">
        <x:v>Not KP</x:v>
      </x:c>
      <x:c r="D11" s="13" t="str">
        <x:v>Refer to police/prosecutor/court/proper authority</x:v>
      </x:c>
      <x:c r="E11" s="13" t="str">
        <x:v>Used when the possible imposable penalty exceeds one year.</x:v>
      </x:c>
    </x:row>
    <x:row r="12">
      <x:c r="A12" s="13" t="str">
        <x:v>fine-over-5000</x:v>
      </x:c>
      <x:c r="B12" s="13" t="str">
        <x:v>NON_KP_REFERRAL</x:v>
      </x:c>
      <x:c r="C12" s="13" t="str">
        <x:v>Not KP</x:v>
      </x:c>
      <x:c r="D12" s="13" t="str">
        <x:v>Refer to proper authority</x:v>
      </x:c>
      <x:c r="E12" s="13" t="str">
        <x:v>Used when the possible imposable fine exceeds ₱5,000.</x:v>
      </x:c>
    </x:row>
    <x:row r="13">
      <x:c r="A13" s="13" t="str">
        <x:v>Synthetic rows</x:v>
      </x:c>
      <x:c r="B13" s="13" t="str">
        <x:v>Marked in source_type</x:v>
      </x:c>
      <x:c r="C13" s="13" t="str">
        <x:v>Training balance only</x:v>
      </x:c>
      <x:c r="D13" s="13" t="str">
        <x:v>Use for classifier development; keep separate from real evidence</x:v>
      </x:c>
      <x:c r="E13" s="13" t="str">
        <x:v>Synthetic examples were generated only for categories underrepresented or absent in the PDF.</x:v>
      </x:c>
    </x:row>
    <x:row r="14">
      <x:c r="A14" s="13" t="str">
        <x:v>Caution</x:v>
      </x:c>
      <x:c r="B14" s="13" t="str">
        <x:v>Prototype training labels</x:v>
      </x:c>
      <x:c r="C14" s="13" t="str">
        <x:v>Not final legal advice</x:v>
      </x:c>
      <x:c r="D14" s="13" t="str">
        <x:v>Verify with authorized legal personnel before production use</x:v>
      </x:c>
      <x:c r="E14" s="13" t="str">
        <x:v>Labels are intended for Justice KP system training and triage behavior.</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8" hidden="0" customWidth="1"/>
    <x:col min="2" max="2" width="22" hidden="0" customWidth="1"/>
    <x:col min="3" max="3" width="13" hidden="0" customWidth="1"/>
    <x:col min="4" max="4" width="18" hidden="0" customWidth="1"/>
    <x:col min="5" max="5" width="18" hidden="0" customWidth="1"/>
    <x:col min="6" max="6" width="38" hidden="0" customWidth="1"/>
    <x:col min="7" max="7" width="17" hidden="0" customWidth="1"/>
    <x:col min="9" max="9" width="55" hidden="0" customWidth="1"/>
    <x:col min="11" max="11" width="24" hidden="0" customWidth="1"/>
    <x:col min="12" max="12" width="32" hidden="0" customWidth="1"/>
    <x:col min="13" max="13" width="42" hidden="0" customWidth="1"/>
    <x:col min="14" max="14" width="50" hidden="0" customWidth="1"/>
    <x:col min="17" max="17" width="50" hidden="0" customWidth="1"/>
    <x:col min="18" max="18" width="35" hidden="0" customWidth="1"/>
  </x:cols>
  <x:sheetData>
    <x:row r="1" ht="42" customHeight="1">
      <x:c r="A1" s="6" t="str">
        <x:v>case_id</x:v>
      </x:c>
      <x:c r="B1" s="6" t="str">
        <x:v>case_type</x:v>
      </x:c>
      <x:c r="C1" s="6" t="str">
        <x:v>source_type</x:v>
      </x:c>
      <x:c r="D1" s="6" t="str">
        <x:v>source_pdf_case_id</x:v>
      </x:c>
      <x:c r="E1" s="6" t="str">
        <x:v>original_dispute_category</x:v>
      </x:c>
      <x:c r="F1" s="6" t="str">
        <x:v>original_nature</x:v>
      </x:c>
      <x:c r="G1" s="6" t="str">
        <x:v>date_filed</x:v>
      </x:c>
      <x:c r="H1" s="6" t="str">
        <x:v>date_of_settlement_or_award</x:v>
      </x:c>
      <x:c r="I1" s="6" t="str">
        <x:v>conversation_status</x:v>
      </x:c>
      <x:c r="J1" s="6" t="str">
        <x:v>action_taken</x:v>
      </x:c>
      <x:c r="K1" s="6" t="str">
        <x:v>justice_kp_label</x:v>
      </x:c>
      <x:c r="L1" s="6" t="str">
        <x:v>kp_eligibility</x:v>
      </x:c>
      <x:c r="M1" s="6" t="str">
        <x:v>recommended_system_action</x:v>
      </x:c>
      <x:c r="N1" s="6" t="str">
        <x:v>label_reason</x:v>
      </x:c>
      <x:c r="O1" s="6" t="str">
        <x:v>amount_or_penalty_reference</x:v>
      </x:c>
      <x:c r="P1" s="6" t="str">
        <x:v>evidence_of_type</x:v>
      </x:c>
      <x:c r="Q1" s="6" t="str">
        <x:v>synthetic_generation_note</x:v>
      </x:c>
      <x:c r="R1" s="6" t="str">
        <x:v>source_file</x:v>
      </x:c>
    </x:row>
    <x:row r="2" ht="36" customHeight="1">
      <x:c r="A2" s="13" t="str">
        <x:v>KP-25-004-PSWT</x:v>
      </x:c>
      <x:c r="B2" s="13" t="str">
        <x:v>debt</x:v>
      </x:c>
      <x:c r="C2" s="13" t="str">
        <x:v>Real PDF</x:v>
      </x:c>
      <x:c r="D2" s="13" t="str">
        <x:v>KP-25-004-PSWT</x:v>
      </x:c>
      <x:c r="E2" s="13" t="str">
        <x:v>Civil</x:v>
      </x:c>
      <x:c r="F2" s="13" t="str">
        <x:v>Hindi pagbabayad ng utanf\g</x:v>
      </x:c>
      <x:c r="G2" s="13" t="str">
        <x:v>January 5, 2025</x:v>
      </x:c>
      <x:c r="H2" s="13" t="str">
        <x:v>January 16, 2025</x:v>
      </x:c>
      <x:c r="I2" s="13" t="str">
        <x:v>Nagkaroon ng pagkakasundo at nangako ang ipinagsumbong na magbabayad ng P8,000 sa February 2025</x:v>
      </x:c>
      <x:c r="J2" s="13" t="str">
        <x:v>Settled</x:v>
      </x:c>
      <x:c r="K2" s="13" t="str">
        <x:v>KP_COVERED_AMICABLE</x:v>
      </x:c>
      <x:c r="L2" s="13" t="str">
        <x:v>Eligible for KP screening</x:v>
      </x:c>
      <x:c r="M2" s="13" t="str">
        <x:v>Proceed to barangay conciliation / mediation screening</x:v>
      </x:c>
      <x:c r="N2" s="13" t="str">
        <x:v>Civil money/property return or small-contract dispute suitable for barangay conciliation if parties meet KP requirements.</x:v>
      </x:c>
      <x:c r="O2" s="13" t="str">
        <x:v>P8,000</x:v>
      </x:c>
      <x:c r="P2" s="13" t="str">
        <x:v>Hindi pagbabayad ng utanf\g</x:v>
      </x:c>
      <x:c r="Q2" s="13" t="str"/>
      <x:c r="R2" s="13" t="str">
        <x:v>KP CASE PSWT - Sheet1 - KP CASE PSWT - Sheet1.pdf</x:v>
      </x:c>
    </x:row>
    <x:row r="3" ht="36" customHeight="1">
      <x:c r="A3" s="13" t="str">
        <x:v>KP-25-007-PSWT</x:v>
      </x:c>
      <x:c r="B3" s="13" t="str">
        <x:v>debt</x:v>
      </x:c>
      <x:c r="C3" s="13" t="str">
        <x:v>Real PDF</x:v>
      </x:c>
      <x:c r="D3" s="13" t="str">
        <x:v>KP-25-007-PSWT</x:v>
      </x:c>
      <x:c r="E3" s="13" t="str">
        <x:v>Civil</x:v>
      </x:c>
      <x:c r="F3" s="13" t="str">
        <x:v>Paglilinaw sa utang na pera</x:v>
      </x:c>
      <x:c r="G3" s="13" t="str">
        <x:v>January 6, 2025</x:v>
      </x:c>
      <x:c r="H3" s="13" t="str">
        <x:v>-</x:v>
      </x:c>
      <x:c r="I3" s="13" t="str">
        <x:v>Walang pagkakasundo at advise ng Punong Barangay na ituloy at malaking halaga</x:v>
      </x:c>
      <x:c r="J3" s="13" t="str">
        <x:v>Dismiss</x:v>
      </x:c>
      <x:c r="K3" s="13" t="str">
        <x:v>KP_COVERED_AMICABLE</x:v>
      </x:c>
      <x:c r="L3" s="13" t="str">
        <x:v>Eligible for KP screening</x:v>
      </x:c>
      <x:c r="M3" s="13" t="str">
        <x:v>Proceed to barangay conciliation / mediation screening</x:v>
      </x:c>
      <x:c r="N3" s="13" t="str">
        <x:v>Civil money/property return or small-contract dispute suitable for barangay conciliation if parties meet KP requirements.</x:v>
      </x:c>
      <x:c r="O3" s="13" t="str"/>
      <x:c r="P3" s="13" t="str">
        <x:v>Paglilinaw sa utang na pera</x:v>
      </x:c>
      <x:c r="Q3" s="13" t="str"/>
      <x:c r="R3" s="13" t="str">
        <x:v>KP CASE PSWT - Sheet1 - KP CASE PSWT - Sheet1.pdf</x:v>
      </x:c>
    </x:row>
    <x:row r="4" ht="36" customHeight="1">
      <x:c r="A4" s="13" t="str">
        <x:v>KP-25-011-PSWT</x:v>
      </x:c>
      <x:c r="B4" s="13" t="str">
        <x:v>debt</x:v>
      </x:c>
      <x:c r="C4" s="13" t="str">
        <x:v>Real PDF</x:v>
      </x:c>
      <x:c r="D4" s="13" t="str">
        <x:v>KP-25-011-PSWT</x:v>
      </x:c>
      <x:c r="E4" s="13" t="str">
        <x:v>Civil</x:v>
      </x:c>
      <x:c r="F4" s="13" t="str">
        <x:v>Paglilinaw sa utang na pera</x:v>
      </x:c>
      <x:c r="G4" s="13" t="str">
        <x:v>January 13, 2025</x:v>
      </x:c>
      <x:c r="H4" s="13" t="str">
        <x:v>January 17, 2025</x:v>
      </x:c>
      <x:c r="I4" s="13" t="str">
        <x:v>Nagkaroon ng pagkakasundo at nangako ang ipinagsumbong na magbibigay siya ng 100 every other day</x:v>
      </x:c>
      <x:c r="J4" s="13" t="str">
        <x:v>Settled</x:v>
      </x:c>
      <x:c r="K4" s="13" t="str">
        <x:v>KP_COVERED_AMICABLE</x:v>
      </x:c>
      <x:c r="L4" s="13" t="str">
        <x:v>Eligible for KP screening</x:v>
      </x:c>
      <x:c r="M4" s="13" t="str">
        <x:v>Proceed to barangay conciliation / mediation screening</x:v>
      </x:c>
      <x:c r="N4" s="13" t="str">
        <x:v>Civil money/property return or small-contract dispute suitable for barangay conciliation if parties meet KP requirements.</x:v>
      </x:c>
      <x:c r="O4" s="13" t="str"/>
      <x:c r="P4" s="13" t="str">
        <x:v>Paglilinaw sa utang na pera</x:v>
      </x:c>
      <x:c r="Q4" s="13" t="str"/>
      <x:c r="R4" s="13" t="str">
        <x:v>KP CASE PSWT - Sheet1 - KP CASE PSWT - Sheet1.pdf</x:v>
      </x:c>
    </x:row>
    <x:row r="5" ht="36" customHeight="1">
      <x:c r="A5" s="13" t="str">
        <x:v>KP-25-012-PSWT</x:v>
      </x:c>
      <x:c r="B5" s="13" t="str">
        <x:v>debt</x:v>
      </x:c>
      <x:c r="C5" s="13" t="str">
        <x:v>Real PDF</x:v>
      </x:c>
      <x:c r="D5" s="13" t="str">
        <x:v>KP-25-012-PSWT</x:v>
      </x:c>
      <x:c r="E5" s="13" t="str">
        <x:v>Civil</x:v>
      </x:c>
      <x:c r="F5" s="13" t="str">
        <x:v>Paglilinaw sa utang na pera</x:v>
      </x:c>
      <x:c r="G5" s="13" t="str">
        <x:v>January 13, 2025</x:v>
      </x:c>
      <x:c r="H5" s="13" t="str">
        <x:v>January 22, 2025</x:v>
      </x:c>
      <x:c r="I5" s="13" t="str">
        <x:v>Nagkaroon ng pagkakasundo at nangako ang ipinagsumbong na magbibigay siya ng 2,500 ng January at katapusan</x:v>
      </x:c>
      <x:c r="J5" s="13" t="str">
        <x:v>Settled</x:v>
      </x:c>
      <x:c r="K5" s="13" t="str">
        <x:v>KP_COVERED_AMICABLE</x:v>
      </x:c>
      <x:c r="L5" s="13" t="str">
        <x:v>Eligible for KP screening</x:v>
      </x:c>
      <x:c r="M5" s="13" t="str">
        <x:v>Proceed to barangay conciliation / mediation screening</x:v>
      </x:c>
      <x:c r="N5" s="13" t="str">
        <x:v>Civil money/property return or small-contract dispute suitable for barangay conciliation if parties meet KP requirements.</x:v>
      </x:c>
      <x:c r="O5" s="13" t="str">
        <x:v>2,500</x:v>
      </x:c>
      <x:c r="P5" s="13" t="str">
        <x:v>Paglilinaw sa utang na pera</x:v>
      </x:c>
      <x:c r="Q5" s="13" t="str"/>
      <x:c r="R5" s="13" t="str">
        <x:v>KP CASE PSWT - Sheet1 - KP CASE PSWT - Sheet1.pdf</x:v>
      </x:c>
    </x:row>
    <x:row r="6" ht="36" customHeight="1">
      <x:c r="A6" s="13" t="str">
        <x:v>KP-25-014-PSWT</x:v>
      </x:c>
      <x:c r="B6" s="13" t="str">
        <x:v>debt</x:v>
      </x:c>
      <x:c r="C6" s="13" t="str">
        <x:v>Real PDF</x:v>
      </x:c>
      <x:c r="D6" s="13" t="str">
        <x:v>KP-25-014-PSWT</x:v>
      </x:c>
      <x:c r="E6" s="13" t="str">
        <x:v>Civil</x:v>
      </x:c>
      <x:c r="F6" s="13" t="str">
        <x:v>Pagbebenta ng motor na hindi pag-aari</x:v>
      </x:c>
      <x:c r="G6" s="13" t="str">
        <x:v>January 20, 2025</x:v>
      </x:c>
      <x:c r="H6" s="13" t="str">
        <x:v>January 23, 2025</x:v>
      </x:c>
      <x:c r="I6" s="13" t="str">
        <x:v>Nagkaroon ng pagkakasundo at nangako ang ipinagsumbong na magbibigay ng P10,000 sa February 10, 2025</x:v>
      </x:c>
      <x:c r="J6" s="13" t="str">
        <x:v>Settled</x:v>
      </x:c>
      <x:c r="K6" s="13" t="str">
        <x:v>KP_COVERED_AMICABLE</x:v>
      </x:c>
      <x:c r="L6" s="13" t="str">
        <x:v>Eligible for KP screening</x:v>
      </x:c>
      <x:c r="M6" s="13" t="str">
        <x:v>Proceed to barangay conciliation / mediation screening</x:v>
      </x:c>
      <x:c r="N6" s="13" t="str">
        <x:v>Civil money/property return or small-contract dispute suitable for barangay conciliation if parties meet KP requirements.</x:v>
      </x:c>
      <x:c r="O6" s="13" t="str">
        <x:v>P10,000</x:v>
      </x:c>
      <x:c r="P6" s="13" t="str">
        <x:v>Pagbebenta ng motor na hindi pag-aari</x:v>
      </x:c>
      <x:c r="Q6" s="13" t="str"/>
      <x:c r="R6" s="13" t="str">
        <x:v>KP CASE PSWT - Sheet1 - KP CASE PSWT - Sheet1.pdf</x:v>
      </x:c>
    </x:row>
    <x:row r="7" ht="36" customHeight="1">
      <x:c r="A7" s="13" t="str">
        <x:v>KP-25-015-PSWT</x:v>
      </x:c>
      <x:c r="B7" s="13" t="str">
        <x:v>debt</x:v>
      </x:c>
      <x:c r="C7" s="13" t="str">
        <x:v>Real PDF</x:v>
      </x:c>
      <x:c r="D7" s="13" t="str">
        <x:v>KP-25-015-PSWT</x:v>
      </x:c>
      <x:c r="E7" s="13" t="str">
        <x:v>Civil</x:v>
      </x:c>
      <x:c r="F7" s="13" t="str">
        <x:v>Hindi pagbabayad ng utang</x:v>
      </x:c>
      <x:c r="G7" s="13" t="str">
        <x:v>January 28, 2025</x:v>
      </x:c>
      <x:c r="H7" s="13" t="str">
        <x:v>February 20, 2025</x:v>
      </x:c>
      <x:c r="I7" s="13" t="str">
        <x:v>Nagkaroon ng pagkakasundo at nangako ang ipinagsumbong na maghuhulog ng 500 tuwing huwebes</x:v>
      </x:c>
      <x:c r="J7" s="13" t="str">
        <x:v>Settled</x:v>
      </x:c>
      <x:c r="K7" s="13" t="str">
        <x:v>KP_COVERED_AMICABLE</x:v>
      </x:c>
      <x:c r="L7" s="13" t="str">
        <x:v>Eligible for KP screening</x:v>
      </x:c>
      <x:c r="M7" s="13" t="str">
        <x:v>Proceed to barangay conciliation / mediation screening</x:v>
      </x:c>
      <x:c r="N7" s="13" t="str">
        <x:v>Civil money/property return or small-contract dispute suitable for barangay conciliation if parties meet KP requirements.</x:v>
      </x:c>
      <x:c r="O7" s="13" t="str"/>
      <x:c r="P7" s="13" t="str">
        <x:v>Hindi pagbabayad ng utang</x:v>
      </x:c>
      <x:c r="Q7" s="13" t="str"/>
      <x:c r="R7" s="13" t="str">
        <x:v>KP CASE PSWT - Sheet1 - KP CASE PSWT - Sheet1.pdf</x:v>
      </x:c>
    </x:row>
    <x:row r="8" ht="36" customHeight="1">
      <x:c r="A8" s="13" t="str">
        <x:v>KP-25-019-PSWT</x:v>
      </x:c>
      <x:c r="B8" s="13" t="str">
        <x:v>debt</x:v>
      </x:c>
      <x:c r="C8" s="13" t="str">
        <x:v>Real PDF</x:v>
      </x:c>
      <x:c r="D8" s="13" t="str">
        <x:v>KP-25-019-PSWT</x:v>
      </x:c>
      <x:c r="E8" s="13" t="str">
        <x:v>Civil</x:v>
      </x:c>
      <x:c r="F8" s="13" t="str">
        <x:v>Paglilinaw sa nakuhang pera</x:v>
      </x:c>
      <x:c r="G8" s="13" t="str">
        <x:v>February 21, 2025</x:v>
      </x:c>
      <x:c r="H8" s="13" t="str">
        <x:v>-</x:v>
      </x:c>
      <x:c r="I8" s="13" t="str">
        <x:v>Walang paghaharap na nangyari at hindi dumating ang ipinagsumbong. Hindi na bumalik ang maysumbong.</x:v>
      </x:c>
      <x:c r="J8" s="13" t="str">
        <x:v>Dismiss</x:v>
      </x:c>
      <x:c r="K8" s="13" t="str">
        <x:v>KP_COVERED_AMICABLE</x:v>
      </x:c>
      <x:c r="L8" s="13" t="str">
        <x:v>Eligible for KP screening</x:v>
      </x:c>
      <x:c r="M8" s="13" t="str">
        <x:v>Proceed to barangay conciliation / mediation screening</x:v>
      </x:c>
      <x:c r="N8" s="13" t="str">
        <x:v>Civil money/property return or small-contract dispute suitable for barangay conciliation if parties meet KP requirements.</x:v>
      </x:c>
      <x:c r="O8" s="13" t="str"/>
      <x:c r="P8" s="13" t="str">
        <x:v>Paglilinaw sa nakuhang pera</x:v>
      </x:c>
      <x:c r="Q8" s="13" t="str"/>
      <x:c r="R8" s="13" t="str">
        <x:v>KP CASE PSWT - Sheet1 - KP CASE PSWT - Sheet1.pdf</x:v>
      </x:c>
    </x:row>
    <x:row r="9" ht="36" customHeight="1">
      <x:c r="A9" s="13" t="str">
        <x:v>KP-25-029-PSWT</x:v>
      </x:c>
      <x:c r="B9" s="13" t="str">
        <x:v>debt</x:v>
      </x:c>
      <x:c r="C9" s="13" t="str">
        <x:v>Real PDF</x:v>
      </x:c>
      <x:c r="D9" s="13" t="str">
        <x:v>KP-25-029-PSWT</x:v>
      </x:c>
      <x:c r="E9" s="13" t="str">
        <x:v>Civil</x:v>
      </x:c>
      <x:c r="F9" s="13" t="str">
        <x:v>Paglilinaw sa utang at pagsasalita ng hindi maganda</x:v>
      </x:c>
      <x:c r="G9" s="13" t="str">
        <x:v>March 20, 2025</x:v>
      </x:c>
      <x:c r="H9" s="13" t="str">
        <x:v>March 25, 2025</x:v>
      </x:c>
      <x:c r="I9" s="13" t="str">
        <x:v>Nagkaroon ng pagkakasundo na babayaran ng ipinagsumbong ang utang na nakapangalan sa may sumbong at wala na siyang pananagutan. Ibibigay ng ipinagsumbong ang pambayad sa maysumbong at siya ang maghuhulog.</x:v>
      </x:c>
      <x:c r="J9" s="13" t="str">
        <x:v>Settled</x:v>
      </x:c>
      <x:c r="K9" s="13" t="str">
        <x:v>KP_COVERED_AMICABLE</x:v>
      </x:c>
      <x:c r="L9" s="13" t="str">
        <x:v>Eligible for KP screening</x:v>
      </x:c>
      <x:c r="M9" s="13" t="str">
        <x:v>Proceed to barangay conciliation / mediation screening</x:v>
      </x:c>
      <x:c r="N9" s="13" t="str">
        <x:v>Civil money/property return or small-contract dispute suitable for barangay conciliation if parties meet KP requirements.</x:v>
      </x:c>
      <x:c r="O9" s="13" t="str"/>
      <x:c r="P9" s="13" t="str">
        <x:v>Paglilinaw sa utang at pagsasalita ng hindi maganda</x:v>
      </x:c>
      <x:c r="Q9" s="13" t="str"/>
      <x:c r="R9" s="13" t="str">
        <x:v>KP CASE PSWT - Sheet1 - KP CASE PSWT - Sheet1.pdf</x:v>
      </x:c>
    </x:row>
    <x:row r="10" ht="36" customHeight="1">
      <x:c r="A10" s="13" t="str">
        <x:v>KP-25-033-PSWT</x:v>
      </x:c>
      <x:c r="B10" s="13" t="str">
        <x:v>debt</x:v>
      </x:c>
      <x:c r="C10" s="13" t="str">
        <x:v>Real PDF</x:v>
      </x:c>
      <x:c r="D10" s="13" t="str">
        <x:v>KP-25-033-PSWT</x:v>
      </x:c>
      <x:c r="E10" s="13" t="str">
        <x:v>Civil</x:v>
      </x:c>
      <x:c r="F10" s="13" t="str">
        <x:v>Hindi pagbabayad ng renta</x:v>
      </x:c>
      <x:c r="G10" s="13" t="str">
        <x:v>March 28, 2025</x:v>
      </x:c>
      <x:c r="H10" s="13" t="str">
        <x:v>May 26, 2025</x:v>
      </x:c>
      <x:c r="I10" s="13" t="str">
        <x:v>Nagkaroon ng pagkakasundo at humingi ng pasensya ang ipinagsumbong at nangako na magbibigay siya ng P500 monthly hanggang matapos ang halagang P5,000.</x:v>
      </x:c>
      <x:c r="J10" s="13" t="str">
        <x:v>Settled</x:v>
      </x:c>
      <x:c r="K10" s="13" t="str">
        <x:v>KP_COVERED_AMICABLE</x:v>
      </x:c>
      <x:c r="L10" s="13" t="str">
        <x:v>Eligible for KP screening</x:v>
      </x:c>
      <x:c r="M10" s="13" t="str">
        <x:v>Proceed to barangay conciliation / mediation screening</x:v>
      </x:c>
      <x:c r="N10" s="13" t="str">
        <x:v>Civil money/property return or small-contract dispute suitable for barangay conciliation if parties meet KP requirements.</x:v>
      </x:c>
      <x:c r="O10" s="13" t="str">
        <x:v>P500; P5,000</x:v>
      </x:c>
      <x:c r="P10" s="13" t="str">
        <x:v>Hindi pagbabayad ng renta</x:v>
      </x:c>
      <x:c r="Q10" s="13" t="str"/>
      <x:c r="R10" s="13" t="str">
        <x:v>KP CASE PSWT - Sheet1 - KP CASE PSWT - Sheet1.pdf</x:v>
      </x:c>
    </x:row>
    <x:row r="11" ht="36" customHeight="1">
      <x:c r="A11" s="13" t="str">
        <x:v>KP-25-040-PSWT</x:v>
      </x:c>
      <x:c r="B11" s="13" t="str">
        <x:v>debt</x:v>
      </x:c>
      <x:c r="C11" s="13" t="str">
        <x:v>Real PDF</x:v>
      </x:c>
      <x:c r="D11" s="13" t="str">
        <x:v>KP-25-040-PSWT</x:v>
      </x:c>
      <x:c r="E11" s="13" t="str">
        <x:v>Civil</x:v>
      </x:c>
      <x:c r="F11" s="13" t="str">
        <x:v>Hindi pagtapos sa ipinagawang electrical wiring</x:v>
      </x:c>
      <x:c r="G11" s="13" t="str">
        <x:v>April 29, 2025</x:v>
      </x:c>
      <x:c r="H11" s="13" t="str">
        <x:v>-</x:v>
      </x:c>
      <x:c r="I11" s="13" t="str">
        <x:v>Walang pagkakasundo sa dalawang panig.</x:v>
      </x:c>
      <x:c r="J11" s="13" t="str">
        <x:v>Endorsed</x:v>
      </x:c>
      <x:c r="K11" s="13" t="str">
        <x:v>KP_COVERED_AMICABLE</x:v>
      </x:c>
      <x:c r="L11" s="13" t="str">
        <x:v>Eligible for KP screening</x:v>
      </x:c>
      <x:c r="M11" s="13" t="str">
        <x:v>Proceed to barangay conciliation / mediation screening</x:v>
      </x:c>
      <x:c r="N11" s="13" t="str">
        <x:v>Civil money/property return or small-contract dispute suitable for barangay conciliation if parties meet KP requirements.</x:v>
      </x:c>
      <x:c r="O11" s="13" t="str"/>
      <x:c r="P11" s="13" t="str">
        <x:v>Hindi pagtapos sa ipinagawang electrical wiring</x:v>
      </x:c>
      <x:c r="Q11" s="13" t="str"/>
      <x:c r="R11" s="13" t="str">
        <x:v>KP CASE PSWT - Sheet1 - KP CASE PSWT - Sheet1.pdf</x:v>
      </x:c>
    </x:row>
    <x:row r="12" ht="36" customHeight="1">
      <x:c r="A12" s="13" t="str">
        <x:v>KP-25-041-PSWT</x:v>
      </x:c>
      <x:c r="B12" s="13" t="str">
        <x:v>debt</x:v>
      </x:c>
      <x:c r="C12" s="13" t="str">
        <x:v>Real PDF</x:v>
      </x:c>
      <x:c r="D12" s="13" t="str">
        <x:v>KP-25-041-PSWT</x:v>
      </x:c>
      <x:c r="E12" s="13" t="str">
        <x:v>Civil</x:v>
      </x:c>
      <x:c r="F12" s="13" t="str">
        <x:v>Hindi pagsauli ng pera</x:v>
      </x:c>
      <x:c r="G12" s="13" t="str">
        <x:v>May 5, 2025</x:v>
      </x:c>
      <x:c r="H12" s="13" t="str">
        <x:v>May 21, 2025</x:v>
      </x:c>
      <x:c r="I12" s="13" t="str">
        <x:v>Nagkaroon ng pagkakasundo. Magbibigay ang ipinagsumbong ng 2,000 at magbibigay ulit ng 2,000 sa June 5.</x:v>
      </x:c>
      <x:c r="J12" s="13" t="str">
        <x:v>Settled</x:v>
      </x:c>
      <x:c r="K12" s="13" t="str">
        <x:v>KP_COVERED_AMICABLE</x:v>
      </x:c>
      <x:c r="L12" s="13" t="str">
        <x:v>Eligible for KP screening</x:v>
      </x:c>
      <x:c r="M12" s="13" t="str">
        <x:v>Proceed to barangay conciliation / mediation screening</x:v>
      </x:c>
      <x:c r="N12" s="13" t="str">
        <x:v>Civil money/property return or small-contract dispute suitable for barangay conciliation if parties meet KP requirements.</x:v>
      </x:c>
      <x:c r="O12" s="13" t="str">
        <x:v>2,000; 2,000</x:v>
      </x:c>
      <x:c r="P12" s="13" t="str">
        <x:v>Hindi pagsauli ng pera</x:v>
      </x:c>
      <x:c r="Q12" s="13" t="str"/>
      <x:c r="R12" s="13" t="str">
        <x:v>KP CASE PSWT - Sheet1 - KP CASE PSWT - Sheet1.pdf</x:v>
      </x:c>
    </x:row>
    <x:row r="13" ht="36" customHeight="1">
      <x:c r="A13" s="13" t="str">
        <x:v>KP-25-042-PSWT</x:v>
      </x:c>
      <x:c r="B13" s="13" t="str">
        <x:v>debt</x:v>
      </x:c>
      <x:c r="C13" s="13" t="str">
        <x:v>Real PDF</x:v>
      </x:c>
      <x:c r="D13" s="13" t="str">
        <x:v>KP-25-042-PSWT</x:v>
      </x:c>
      <x:c r="E13" s="13" t="str">
        <x:v>Civil</x:v>
      </x:c>
      <x:c r="F13" s="13" t="str">
        <x:v>Hindi pagbayayad ng utang</x:v>
      </x:c>
      <x:c r="G13" s="13" t="str">
        <x:v>May 13, 2025</x:v>
      </x:c>
      <x:c r="H13" s="13" t="str">
        <x:v>May 21, 2025</x:v>
      </x:c>
      <x:c r="I13" s="13" t="str">
        <x:v>Nagkaroon ng pagkakasundo na magbibigay ang ipinagsumbong ng 1,200 sa June, 1,800 sa June 15 at 1,800 sa June 30, 2025.</x:v>
      </x:c>
      <x:c r="J13" s="13" t="str">
        <x:v>Settled</x:v>
      </x:c>
      <x:c r="K13" s="13" t="str">
        <x:v>KP_COVERED_AMICABLE</x:v>
      </x:c>
      <x:c r="L13" s="13" t="str">
        <x:v>Eligible for KP screening</x:v>
      </x:c>
      <x:c r="M13" s="13" t="str">
        <x:v>Proceed to barangay conciliation / mediation screening</x:v>
      </x:c>
      <x:c r="N13" s="13" t="str">
        <x:v>Civil money/property return or small-contract dispute suitable for barangay conciliation if parties meet KP requirements.</x:v>
      </x:c>
      <x:c r="O13" s="13" t="str">
        <x:v>1,200; 1,800; 1,800</x:v>
      </x:c>
      <x:c r="P13" s="13" t="str">
        <x:v>Hindi pagbayayad ng utang</x:v>
      </x:c>
      <x:c r="Q13" s="13" t="str"/>
      <x:c r="R13" s="13" t="str">
        <x:v>KP CASE PSWT - Sheet1 - KP CASE PSWT - Sheet1.pdf</x:v>
      </x:c>
    </x:row>
    <x:row r="14" ht="36" customHeight="1">
      <x:c r="A14" s="13" t="str">
        <x:v>KP-25-043-PSWT</x:v>
      </x:c>
      <x:c r="B14" s="13" t="str">
        <x:v>debt</x:v>
      </x:c>
      <x:c r="C14" s="13" t="str">
        <x:v>Real PDF</x:v>
      </x:c>
      <x:c r="D14" s="13" t="str">
        <x:v>KP-25-043-PSWT</x:v>
      </x:c>
      <x:c r="E14" s="13" t="str">
        <x:v>Civil</x:v>
      </x:c>
      <x:c r="F14" s="13" t="str">
        <x:v>Hindi pagbabayad ng renta ng bahay</x:v>
      </x:c>
      <x:c r="G14" s="13" t="str">
        <x:v>May 19, 2025</x:v>
      </x:c>
      <x:c r="H14" s="13" t="str">
        <x:v>May 30, 2025</x:v>
      </x:c>
      <x:c r="I14" s="13" t="str">
        <x:v>Nagkaroon ng pagkakasundo na magbibigay ng P3,000 bayad sa tubig at ilaw. Binibigyan sila ng palugit hanggang JUne 14, 2025 para umalis sa inuupahan. Ang bayad sa bahay ay babayaran ng 2,000 buwan buwan hanggang matapos ang halagang P10,000.</x:v>
      </x:c>
      <x:c r="J14" s="13" t="str">
        <x:v>Settled</x:v>
      </x:c>
      <x:c r="K14" s="13" t="str">
        <x:v>KP_COVERED_AMICABLE</x:v>
      </x:c>
      <x:c r="L14" s="13" t="str">
        <x:v>Eligible for KP screening</x:v>
      </x:c>
      <x:c r="M14" s="13" t="str">
        <x:v>Proceed to barangay conciliation / mediation screening</x:v>
      </x:c>
      <x:c r="N14" s="13" t="str">
        <x:v>Civil money/property return or small-contract dispute suitable for barangay conciliation if parties meet KP requirements.</x:v>
      </x:c>
      <x:c r="O14" s="13" t="str">
        <x:v>P3,000; 2,000; P10,000</x:v>
      </x:c>
      <x:c r="P14" s="13" t="str">
        <x:v>Hindi pagbabayad ng renta ng bahay</x:v>
      </x:c>
      <x:c r="Q14" s="13" t="str"/>
      <x:c r="R14" s="13" t="str">
        <x:v>KP CASE PSWT - Sheet1 - KP CASE PSWT - Sheet1.pdf</x:v>
      </x:c>
    </x:row>
    <x:row r="15" ht="36" customHeight="1">
      <x:c r="A15" s="13" t="str">
        <x:v>KP-25-044-PSWT</x:v>
      </x:c>
      <x:c r="B15" s="13" t="str">
        <x:v>debt</x:v>
      </x:c>
      <x:c r="C15" s="13" t="str">
        <x:v>Real PDF</x:v>
      </x:c>
      <x:c r="D15" s="13" t="str">
        <x:v>KP-25-044-PSWT</x:v>
      </x:c>
      <x:c r="E15" s="13" t="str">
        <x:v>Civil</x:v>
      </x:c>
      <x:c r="F15" s="13" t="str">
        <x:v>Paglilinaw sa utang</x:v>
      </x:c>
      <x:c r="G15" s="13" t="str">
        <x:v>May 20, 2025</x:v>
      </x:c>
      <x:c r="H15" s="13" t="str">
        <x:v>May 23, 2025</x:v>
      </x:c>
      <x:c r="I15" s="13" t="str">
        <x:v>Nagkaroon ng pagkakasundo. Nangako ang ipinagsumbong na maghuhulog sila ng P5,000 buwan buwan na nagkakahalaga ng P150,000 at huhulugan sa loob ng 30 months.</x:v>
      </x:c>
      <x:c r="J15" s="13" t="str">
        <x:v>Settled</x:v>
      </x:c>
      <x:c r="K15" s="13" t="str">
        <x:v>KP_COVERED_AMICABLE</x:v>
      </x:c>
      <x:c r="L15" s="13" t="str">
        <x:v>Eligible for KP screening</x:v>
      </x:c>
      <x:c r="M15" s="13" t="str">
        <x:v>Proceed to barangay conciliation / mediation screening</x:v>
      </x:c>
      <x:c r="N15" s="13" t="str">
        <x:v>Civil money/property return or small-contract dispute suitable for barangay conciliation if parties meet KP requirements.</x:v>
      </x:c>
      <x:c r="O15" s="13" t="str">
        <x:v>P5,000; P150,000</x:v>
      </x:c>
      <x:c r="P15" s="13" t="str">
        <x:v>Paglilinaw sa utang</x:v>
      </x:c>
      <x:c r="Q15" s="13" t="str"/>
      <x:c r="R15" s="13" t="str">
        <x:v>KP CASE PSWT - Sheet1 - KP CASE PSWT - Sheet1.pdf</x:v>
      </x:c>
    </x:row>
    <x:row r="16" ht="36" customHeight="1">
      <x:c r="A16" s="13" t="str">
        <x:v>KP-25-045-PSWT</x:v>
      </x:c>
      <x:c r="B16" s="13" t="str">
        <x:v>debt</x:v>
      </x:c>
      <x:c r="C16" s="13" t="str">
        <x:v>Real PDF</x:v>
      </x:c>
      <x:c r="D16" s="13" t="str">
        <x:v>KP-25-045-PSWT</x:v>
      </x:c>
      <x:c r="E16" s="13" t="str">
        <x:v>Civil</x:v>
      </x:c>
      <x:c r="F16" s="13" t="str">
        <x:v>Paglilinaw sa utang</x:v>
      </x:c>
      <x:c r="G16" s="13" t="str">
        <x:v>May 22, 2025</x:v>
      </x:c>
      <x:c r="H16" s="13" t="str">
        <x:v>June 17, 2025</x:v>
      </x:c>
      <x:c r="I16" s="13" t="str">
        <x:v>Nagkaroon ng pagkakasundo na ang ipinagsumbong ay maghuhulog tuwing 15 at 30 ng buwan ng 500.</x:v>
      </x:c>
      <x:c r="J16" s="13" t="str">
        <x:v>Settled</x:v>
      </x:c>
      <x:c r="K16" s="13" t="str">
        <x:v>KP_COVERED_AMICABLE</x:v>
      </x:c>
      <x:c r="L16" s="13" t="str">
        <x:v>Eligible for KP screening</x:v>
      </x:c>
      <x:c r="M16" s="13" t="str">
        <x:v>Proceed to barangay conciliation / mediation screening</x:v>
      </x:c>
      <x:c r="N16" s="13" t="str">
        <x:v>Civil money/property return or small-contract dispute suitable for barangay conciliation if parties meet KP requirements.</x:v>
      </x:c>
      <x:c r="O16" s="13" t="str"/>
      <x:c r="P16" s="13" t="str">
        <x:v>Paglilinaw sa utang</x:v>
      </x:c>
      <x:c r="Q16" s="13" t="str"/>
      <x:c r="R16" s="13" t="str">
        <x:v>KP CASE PSWT - Sheet1 - KP CASE PSWT - Sheet1.pdf</x:v>
      </x:c>
    </x:row>
    <x:row r="17" ht="36" customHeight="1">
      <x:c r="A17" s="13" t="str">
        <x:v>KP-25-047-PSWT</x:v>
      </x:c>
      <x:c r="B17" s="13" t="str">
        <x:v>debt</x:v>
      </x:c>
      <x:c r="C17" s="13" t="str">
        <x:v>Real PDF</x:v>
      </x:c>
      <x:c r="D17" s="13" t="str">
        <x:v>KP-25-047-PSWT</x:v>
      </x:c>
      <x:c r="E17" s="13" t="str">
        <x:v>Civil</x:v>
      </x:c>
      <x:c r="F17" s="13" t="str">
        <x:v>Hindi pagbabayad sa utang</x:v>
      </x:c>
      <x:c r="G17" s="13" t="str">
        <x:v>May 30, 2025</x:v>
      </x:c>
      <x:c r="H17" s="13" t="str">
        <x:v>June 3, 2025</x:v>
      </x:c>
      <x:c r="I17" s="13" t="str">
        <x:v>Nagkaroon ng pagkakaunawaaan na sila ay maghuhulog ng kanilang pagkakautang. At ang pananagutan ng pagkakautang ng mga taong nagamit ay ang ipinagsumbong ang magbabayad, P800 araw-araw.</x:v>
      </x:c>
      <x:c r="J17" s="13" t="str">
        <x:v>Settled</x:v>
      </x:c>
      <x:c r="K17" s="13" t="str">
        <x:v>KP_COVERED_AMICABLE</x:v>
      </x:c>
      <x:c r="L17" s="13" t="str">
        <x:v>Eligible for KP screening</x:v>
      </x:c>
      <x:c r="M17" s="13" t="str">
        <x:v>Proceed to barangay conciliation / mediation screening</x:v>
      </x:c>
      <x:c r="N17" s="13" t="str">
        <x:v>Civil money/property return or small-contract dispute suitable for barangay conciliation if parties meet KP requirements.</x:v>
      </x:c>
      <x:c r="O17" s="13" t="str">
        <x:v>P800</x:v>
      </x:c>
      <x:c r="P17" s="13" t="str">
        <x:v>Hindi pagbabayad sa utang</x:v>
      </x:c>
      <x:c r="Q17" s="13" t="str"/>
      <x:c r="R17" s="13" t="str">
        <x:v>KP CASE PSWT - Sheet1 - KP CASE PSWT - Sheet1.pdf</x:v>
      </x:c>
    </x:row>
    <x:row r="18" ht="36" customHeight="1">
      <x:c r="A18" s="13" t="str">
        <x:v>KP-25-048-PSWT</x:v>
      </x:c>
      <x:c r="B18" s="13" t="str">
        <x:v>debt</x:v>
      </x:c>
      <x:c r="C18" s="13" t="str">
        <x:v>Real PDF</x:v>
      </x:c>
      <x:c r="D18" s="13" t="str">
        <x:v>KP-25-048-PSWT</x:v>
      </x:c>
      <x:c r="E18" s="13" t="str">
        <x:v>Civil</x:v>
      </x:c>
      <x:c r="F18" s="13" t="str">
        <x:v>Hindi pagsasauli ng cellphone</x:v>
      </x:c>
      <x:c r="G18" s="13" t="str">
        <x:v>June 2, 2025</x:v>
      </x:c>
      <x:c r="H18" s="13" t="str">
        <x:v>-</x:v>
      </x:c>
      <x:c r="I18" s="13" t="str">
        <x:v>Walang pagkakasundo sa dalawang panig.</x:v>
      </x:c>
      <x:c r="J18" s="13" t="str">
        <x:v>Pending</x:v>
      </x:c>
      <x:c r="K18" s="13" t="str">
        <x:v>KP_COVERED_AMICABLE</x:v>
      </x:c>
      <x:c r="L18" s="13" t="str">
        <x:v>Eligible for KP screening</x:v>
      </x:c>
      <x:c r="M18" s="13" t="str">
        <x:v>Proceed to barangay conciliation / mediation screening</x:v>
      </x:c>
      <x:c r="N18" s="13" t="str">
        <x:v>Civil money/property return or small-contract dispute suitable for barangay conciliation if parties meet KP requirements.</x:v>
      </x:c>
      <x:c r="O18" s="13" t="str"/>
      <x:c r="P18" s="13" t="str">
        <x:v>Hindi pagsasauli ng cellphone</x:v>
      </x:c>
      <x:c r="Q18" s="13" t="str"/>
      <x:c r="R18" s="13" t="str">
        <x:v>KP CASE PSWT - Sheet1 - KP CASE PSWT - Sheet1.pdf</x:v>
      </x:c>
    </x:row>
    <x:row r="19" ht="36" customHeight="1">
      <x:c r="A19" s="13" t="str">
        <x:v>KP-25-049-PSWT</x:v>
      </x:c>
      <x:c r="B19" s="13" t="str">
        <x:v>debt</x:v>
      </x:c>
      <x:c r="C19" s="13" t="str">
        <x:v>Real PDF</x:v>
      </x:c>
      <x:c r="D19" s="13" t="str">
        <x:v>KP-25-049-PSWT</x:v>
      </x:c>
      <x:c r="E19" s="13" t="str">
        <x:v>Civil</x:v>
      </x:c>
      <x:c r="F19" s="13" t="str">
        <x:v>Hindi pagbabayad sa utang</x:v>
      </x:c>
      <x:c r="G19" s="13" t="str">
        <x:v>June 9, 2025</x:v>
      </x:c>
      <x:c r="H19" s="13" t="str">
        <x:v>June 26, 2025</x:v>
      </x:c>
      <x:c r="I19" s="13" t="str">
        <x:v>Nagkaroon ng pagkakasundo at nanngako ang ipinagsumbong na magbibigay ng P1,000 tuwing 22 at 26 ng buwan hanggang matapos ang P8,000.</x:v>
      </x:c>
      <x:c r="J19" s="13" t="str">
        <x:v>Settled</x:v>
      </x:c>
      <x:c r="K19" s="13" t="str">
        <x:v>KP_COVERED_AMICABLE</x:v>
      </x:c>
      <x:c r="L19" s="13" t="str">
        <x:v>Eligible for KP screening</x:v>
      </x:c>
      <x:c r="M19" s="13" t="str">
        <x:v>Proceed to barangay conciliation / mediation screening</x:v>
      </x:c>
      <x:c r="N19" s="13" t="str">
        <x:v>Civil money/property return or small-contract dispute suitable for barangay conciliation if parties meet KP requirements.</x:v>
      </x:c>
      <x:c r="O19" s="13" t="str">
        <x:v>P1,000; P8,000</x:v>
      </x:c>
      <x:c r="P19" s="13" t="str">
        <x:v>Hindi pagbabayad sa utang</x:v>
      </x:c>
      <x:c r="Q19" s="13" t="str"/>
      <x:c r="R19" s="13" t="str">
        <x:v>KP CASE PSWT - Sheet1 - KP CASE PSWT - Sheet1.pdf</x:v>
      </x:c>
    </x:row>
    <x:row r="20" ht="36" customHeight="1">
      <x:c r="A20" s="13" t="str">
        <x:v>KP-25-050-PSWT</x:v>
      </x:c>
      <x:c r="B20" s="13" t="str">
        <x:v>debt</x:v>
      </x:c>
      <x:c r="C20" s="13" t="str">
        <x:v>Real PDF</x:v>
      </x:c>
      <x:c r="D20" s="13" t="str">
        <x:v>KP-25-050-PSWT</x:v>
      </x:c>
      <x:c r="E20" s="13" t="str">
        <x:v>Civil</x:v>
      </x:c>
      <x:c r="F20" s="13" t="str">
        <x:v>Paglilinaw sa hindi pagbabayad ng utang</x:v>
      </x:c>
      <x:c r="G20" s="13" t="str">
        <x:v>June 10, 2025</x:v>
      </x:c>
      <x:c r="H20" s="13" t="str">
        <x:v>June 13, 2025</x:v>
      </x:c>
      <x:c r="I20" s="13" t="str">
        <x:v>Nagkaroon ng pagkakasundo at nangako ang ipinagsumbong na maghuhulog ng P3,000 weekly tuwing araw ng Sabado simula September 2025 hanggang matapos ang halagang P302, 325.</x:v>
      </x:c>
      <x:c r="J20" s="13" t="str">
        <x:v>Settled</x:v>
      </x:c>
      <x:c r="K20" s="13" t="str">
        <x:v>KP_COVERED_AMICABLE</x:v>
      </x:c>
      <x:c r="L20" s="13" t="str">
        <x:v>Eligible for KP screening</x:v>
      </x:c>
      <x:c r="M20" s="13" t="str">
        <x:v>Proceed to barangay conciliation / mediation screening</x:v>
      </x:c>
      <x:c r="N20" s="13" t="str">
        <x:v>Civil money/property return or small-contract dispute suitable for barangay conciliation if parties meet KP requirements.</x:v>
      </x:c>
      <x:c r="O20" s="13" t="str">
        <x:v>P3,000; P302,</x:v>
      </x:c>
      <x:c r="P20" s="13" t="str">
        <x:v>Paglilinaw sa hindi pagbabayad ng utang</x:v>
      </x:c>
      <x:c r="Q20" s="13" t="str"/>
      <x:c r="R20" s="13" t="str">
        <x:v>KP CASE PSWT - Sheet1 - KP CASE PSWT - Sheet1.pdf</x:v>
      </x:c>
    </x:row>
    <x:row r="21" ht="36" customHeight="1">
      <x:c r="A21" s="13" t="str">
        <x:v>KP-25-052-PSWT</x:v>
      </x:c>
      <x:c r="B21" s="13" t="str">
        <x:v>debt</x:v>
      </x:c>
      <x:c r="C21" s="13" t="str">
        <x:v>Real PDF</x:v>
      </x:c>
      <x:c r="D21" s="13" t="str">
        <x:v>KP-25-052-PSWT</x:v>
      </x:c>
      <x:c r="E21" s="13" t="str">
        <x:v>Civil</x:v>
      </x:c>
      <x:c r="F21" s="13" t="str">
        <x:v>Paglilinaw sa biniling motor</x:v>
      </x:c>
      <x:c r="G21" s="13" t="str">
        <x:v>May 13, 2025</x:v>
      </x:c>
      <x:c r="H21" s="13" t="str">
        <x:v>-</x:v>
      </x:c>
      <x:c r="I21" s="13" t="str">
        <x:v>Walang pagkakasundo sa dalawang panig.</x:v>
      </x:c>
      <x:c r="J21" s="13" t="str">
        <x:v>Endorsed</x:v>
      </x:c>
      <x:c r="K21" s="13" t="str">
        <x:v>KP_COVERED_AMICABLE</x:v>
      </x:c>
      <x:c r="L21" s="13" t="str">
        <x:v>Eligible for KP screening</x:v>
      </x:c>
      <x:c r="M21" s="13" t="str">
        <x:v>Proceed to barangay conciliation / mediation screening</x:v>
      </x:c>
      <x:c r="N21" s="13" t="str">
        <x:v>Civil money/property return or small-contract dispute suitable for barangay conciliation if parties meet KP requirements.</x:v>
      </x:c>
      <x:c r="O21" s="13" t="str"/>
      <x:c r="P21" s="13" t="str">
        <x:v>Paglilinaw sa biniling motor</x:v>
      </x:c>
      <x:c r="Q21" s="13" t="str"/>
      <x:c r="R21" s="13" t="str">
        <x:v>KP CASE PSWT - Sheet1 - KP CASE PSWT - Sheet1.pdf</x:v>
      </x:c>
    </x:row>
    <x:row r="22" ht="36" customHeight="1">
      <x:c r="A22" s="13" t="str">
        <x:v>KP-25-053-PSWT</x:v>
      </x:c>
      <x:c r="B22" s="13" t="str">
        <x:v>debt</x:v>
      </x:c>
      <x:c r="C22" s="13" t="str">
        <x:v>Real PDF</x:v>
      </x:c>
      <x:c r="D22" s="13" t="str">
        <x:v>KP-25-053-PSWT</x:v>
      </x:c>
      <x:c r="E22" s="13" t="str">
        <x:v>Civil</x:v>
      </x:c>
      <x:c r="F22" s="13" t="str">
        <x:v>Paglilinaw sa utang</x:v>
      </x:c>
      <x:c r="G22" s="13" t="str">
        <x:v>June 13, 2025</x:v>
      </x:c>
      <x:c r="H22" s="13" t="str">
        <x:v>October 29, 2025</x:v>
      </x:c>
      <x:c r="I22" s="13" t="str">
        <x:v>Nangako ang ipinagsumbong na maghuhulog tuwing sweldo ng P5,000 hanggang matapos ang P15,000.</x:v>
      </x:c>
      <x:c r="J22" s="13" t="str">
        <x:v>Settled</x:v>
      </x:c>
      <x:c r="K22" s="13" t="str">
        <x:v>KP_COVERED_AMICABLE</x:v>
      </x:c>
      <x:c r="L22" s="13" t="str">
        <x:v>Eligible for KP screening</x:v>
      </x:c>
      <x:c r="M22" s="13" t="str">
        <x:v>Proceed to barangay conciliation / mediation screening</x:v>
      </x:c>
      <x:c r="N22" s="13" t="str">
        <x:v>Civil money/property return or small-contract dispute suitable for barangay conciliation if parties meet KP requirements.</x:v>
      </x:c>
      <x:c r="O22" s="13" t="str">
        <x:v>P5,000; P15,000</x:v>
      </x:c>
      <x:c r="P22" s="13" t="str">
        <x:v>Paglilinaw sa utang</x:v>
      </x:c>
      <x:c r="Q22" s="13" t="str"/>
      <x:c r="R22" s="13" t="str">
        <x:v>KP CASE PSWT - Sheet1 - KP CASE PSWT - Sheet1.pdf</x:v>
      </x:c>
    </x:row>
    <x:row r="23" ht="36" customHeight="1">
      <x:c r="A23" s="13" t="str">
        <x:v>KP-25-058-PSWT</x:v>
      </x:c>
      <x:c r="B23" s="13" t="str">
        <x:v>debt</x:v>
      </x:c>
      <x:c r="C23" s="13" t="str">
        <x:v>Real PDF</x:v>
      </x:c>
      <x:c r="D23" s="13" t="str">
        <x:v>KP-25-058-PSWT</x:v>
      </x:c>
      <x:c r="E23" s="13" t="str">
        <x:v>Civil</x:v>
      </x:c>
      <x:c r="F23" s="13" t="str">
        <x:v>Paglilinaw sa welding machine</x:v>
      </x:c>
      <x:c r="G23" s="13" t="str">
        <x:v>July 2, 2025</x:v>
      </x:c>
      <x:c r="H23" s="13" t="str">
        <x:v>-</x:v>
      </x:c>
      <x:c r="I23" s="13" t="str">
        <x:v>Hindi dumadating ang ipinagsumbong kaya't ang maysumbong ay may karapatan ng maghain ng kaukulang reklamo sa kinauukulang tanggapan.</x:v>
      </x:c>
      <x:c r="J23" s="13" t="str">
        <x:v>Endorsed</x:v>
      </x:c>
      <x:c r="K23" s="13" t="str">
        <x:v>KP_COVERED_AMICABLE</x:v>
      </x:c>
      <x:c r="L23" s="13" t="str">
        <x:v>Eligible for KP screening</x:v>
      </x:c>
      <x:c r="M23" s="13" t="str">
        <x:v>Proceed to barangay conciliation / mediation screening</x:v>
      </x:c>
      <x:c r="N23" s="13" t="str">
        <x:v>Civil money/property return or small-contract dispute suitable for barangay conciliation if parties meet KP requirements.</x:v>
      </x:c>
      <x:c r="O23" s="13" t="str"/>
      <x:c r="P23" s="13" t="str">
        <x:v>Paglilinaw sa welding machine</x:v>
      </x:c>
      <x:c r="Q23" s="13" t="str"/>
      <x:c r="R23" s="13" t="str">
        <x:v>KP CASE PSWT - Sheet1 - KP CASE PSWT - Sheet1.pdf</x:v>
      </x:c>
    </x:row>
    <x:row r="24" ht="36" customHeight="1">
      <x:c r="A24" s="13" t="str">
        <x:v>KP-25-059-PSWT</x:v>
      </x:c>
      <x:c r="B24" s="13" t="str">
        <x:v>debt</x:v>
      </x:c>
      <x:c r="C24" s="13" t="str">
        <x:v>Real PDF</x:v>
      </x:c>
      <x:c r="D24" s="13" t="str">
        <x:v>KP-25-059-PSWT</x:v>
      </x:c>
      <x:c r="E24" s="13" t="str">
        <x:v>Civil</x:v>
      </x:c>
      <x:c r="F24" s="13" t="str">
        <x:v>Kumuha ng gamit ng walang pahintulot</x:v>
      </x:c>
      <x:c r="G24" s="13" t="str">
        <x:v>July 4, 2025</x:v>
      </x:c>
      <x:c r="H24" s="13" t="str">
        <x:v>-</x:v>
      </x:c>
      <x:c r="I24" s="13" t="str">
        <x:v>Nagkaroon ng pagkakasundo na babayaran ng ipinagsumbong ang gamit na halagang P70,000 hanggang October 16, 2025. Sa oras na hindi matupad ang kasunduan ang mga gamit ay ibebenta na.</x:v>
      </x:c>
      <x:c r="J24" s="13" t="str">
        <x:v>Settled</x:v>
      </x:c>
      <x:c r="K24" s="13" t="str">
        <x:v>KP_COVERED_AMICABLE</x:v>
      </x:c>
      <x:c r="L24" s="13" t="str">
        <x:v>Eligible for KP screening</x:v>
      </x:c>
      <x:c r="M24" s="13" t="str">
        <x:v>Proceed to barangay conciliation / mediation screening</x:v>
      </x:c>
      <x:c r="N24" s="13" t="str">
        <x:v>Civil money/property return or small-contract dispute suitable for barangay conciliation if parties meet KP requirements.</x:v>
      </x:c>
      <x:c r="O24" s="13" t="str">
        <x:v>P70,000</x:v>
      </x:c>
      <x:c r="P24" s="13" t="str">
        <x:v>Kumuha ng gamit ng walang pahintulot</x:v>
      </x:c>
      <x:c r="Q24" s="13" t="str"/>
      <x:c r="R24" s="13" t="str">
        <x:v>KP CASE PSWT - Sheet1 - KP CASE PSWT - Sheet1.pdf</x:v>
      </x:c>
    </x:row>
    <x:row r="25" ht="36" customHeight="1">
      <x:c r="A25" s="13" t="str">
        <x:v>KP-25-060-PSWT</x:v>
      </x:c>
      <x:c r="B25" s="13" t="str">
        <x:v>debt</x:v>
      </x:c>
      <x:c r="C25" s="13" t="str">
        <x:v>Real PDF</x:v>
      </x:c>
      <x:c r="D25" s="13" t="str">
        <x:v>KP-25-060-PSWT</x:v>
      </x:c>
      <x:c r="E25" s="13" t="str">
        <x:v>Civil</x:v>
      </x:c>
      <x:c r="F25" s="13" t="str">
        <x:v>Hindi pagbabayad sa utang</x:v>
      </x:c>
      <x:c r="G25" s="13" t="str">
        <x:v>July 15, 2025</x:v>
      </x:c>
      <x:c r="H25" s="13" t="str">
        <x:v>August 4, 2025</x:v>
      </x:c>
      <x:c r="I25" s="13" t="str">
        <x:v>Nagkasundo na maghuhulog ang ipinagsumbong tuwing ika-20 at ika-5 ng buwan. Ang usapin ay tinatapos na.</x:v>
      </x:c>
      <x:c r="J25" s="13" t="str">
        <x:v>Settled</x:v>
      </x:c>
      <x:c r="K25" s="13" t="str">
        <x:v>KP_COVERED_AMICABLE</x:v>
      </x:c>
      <x:c r="L25" s="13" t="str">
        <x:v>Eligible for KP screening</x:v>
      </x:c>
      <x:c r="M25" s="13" t="str">
        <x:v>Proceed to barangay conciliation / mediation screening</x:v>
      </x:c>
      <x:c r="N25" s="13" t="str">
        <x:v>Civil money/property return or small-contract dispute suitable for barangay conciliation if parties meet KP requirements.</x:v>
      </x:c>
      <x:c r="O25" s="13" t="str"/>
      <x:c r="P25" s="13" t="str">
        <x:v>Hindi pagbabayad sa utang</x:v>
      </x:c>
      <x:c r="Q25" s="13" t="str"/>
      <x:c r="R25" s="13" t="str">
        <x:v>KP CASE PSWT - Sheet1 - KP CASE PSWT - Sheet1.pdf</x:v>
      </x:c>
    </x:row>
    <x:row r="26" ht="36" customHeight="1">
      <x:c r="A26" s="13" t="str">
        <x:v>KP-25-062-PSWT</x:v>
      </x:c>
      <x:c r="B26" s="13" t="str">
        <x:v>debt</x:v>
      </x:c>
      <x:c r="C26" s="13" t="str">
        <x:v>Real PDF</x:v>
      </x:c>
      <x:c r="D26" s="13" t="str">
        <x:v>KP-25-062-PSWT</x:v>
      </x:c>
      <x:c r="E26" s="13" t="str">
        <x:v>Civil</x:v>
      </x:c>
      <x:c r="F26" s="13" t="str">
        <x:v>Hindi pagbayayad ng utang</x:v>
      </x:c>
      <x:c r="G26" s="13" t="str">
        <x:v>July 22, 2025</x:v>
      </x:c>
      <x:c r="H26" s="13" t="str">
        <x:v>July 29, 2025</x:v>
      </x:c>
      <x:c r="I26" s="13" t="str">
        <x:v>Nagkaroon ng pagkakasundo nangako ang ipinnagsumbong na ibibigay niya ang utang na P2,100 sa maysumbong sa August 3 2025.</x:v>
      </x:c>
      <x:c r="J26" s="13" t="str">
        <x:v>Settled</x:v>
      </x:c>
      <x:c r="K26" s="13" t="str">
        <x:v>KP_COVERED_AMICABLE</x:v>
      </x:c>
      <x:c r="L26" s="13" t="str">
        <x:v>Eligible for KP screening</x:v>
      </x:c>
      <x:c r="M26" s="13" t="str">
        <x:v>Proceed to barangay conciliation / mediation screening</x:v>
      </x:c>
      <x:c r="N26" s="13" t="str">
        <x:v>Civil money/property return or small-contract dispute suitable for barangay conciliation if parties meet KP requirements.</x:v>
      </x:c>
      <x:c r="O26" s="13" t="str">
        <x:v>P2,100</x:v>
      </x:c>
      <x:c r="P26" s="13" t="str">
        <x:v>Hindi pagbayayad ng utang</x:v>
      </x:c>
      <x:c r="Q26" s="13" t="str"/>
      <x:c r="R26" s="13" t="str">
        <x:v>KP CASE PSWT - Sheet1 - KP CASE PSWT - Sheet1.pdf</x:v>
      </x:c>
    </x:row>
    <x:row r="27" ht="36" customHeight="1">
      <x:c r="A27" s="13" t="str">
        <x:v>KP-25-064-PSWT</x:v>
      </x:c>
      <x:c r="B27" s="13" t="str">
        <x:v>debt</x:v>
      </x:c>
      <x:c r="C27" s="13" t="str">
        <x:v>Real PDF</x:v>
      </x:c>
      <x:c r="D27" s="13" t="str">
        <x:v>KP-25-064-PSWT</x:v>
      </x:c>
      <x:c r="E27" s="13" t="str">
        <x:v>Civil</x:v>
      </x:c>
      <x:c r="F27" s="13" t="str">
        <x:v>Pag-abandona sa trabaho</x:v>
      </x:c>
      <x:c r="G27" s="13" t="str">
        <x:v>July 30, 2025</x:v>
      </x:c>
      <x:c r="H27" s="13" t="str">
        <x:v>August 8, 2025</x:v>
      </x:c>
      <x:c r="I27" s="13" t="str">
        <x:v>Nagkasundo at nangako ang ipinagsumbong na huhulugan ang utang na P3,200. Magbibigay ng P500 linggo- linggo hanggang matapos ang halaga. Nakatupad ang ipinagsumbong.</x:v>
      </x:c>
      <x:c r="J27" s="13" t="str">
        <x:v>Settled</x:v>
      </x:c>
      <x:c r="K27" s="13" t="str">
        <x:v>KP_COVERED_AMICABLE</x:v>
      </x:c>
      <x:c r="L27" s="13" t="str">
        <x:v>Eligible for KP screening</x:v>
      </x:c>
      <x:c r="M27" s="13" t="str">
        <x:v>Proceed to barangay conciliation / mediation screening</x:v>
      </x:c>
      <x:c r="N27" s="13" t="str">
        <x:v>Civil money/property return or small-contract dispute suitable for barangay conciliation if parties meet KP requirements.</x:v>
      </x:c>
      <x:c r="O27" s="13" t="str">
        <x:v>P3,200; P500</x:v>
      </x:c>
      <x:c r="P27" s="13" t="str">
        <x:v>Pag-abandona sa trabaho</x:v>
      </x:c>
      <x:c r="Q27" s="13" t="str"/>
      <x:c r="R27" s="13" t="str">
        <x:v>KP CASE PSWT - Sheet1 - KP CASE PSWT - Sheet1.pdf</x:v>
      </x:c>
    </x:row>
    <x:row r="28" ht="36" customHeight="1">
      <x:c r="A28" s="13" t="str">
        <x:v>KP-25-066-PSWT</x:v>
      </x:c>
      <x:c r="B28" s="13" t="str">
        <x:v>debt</x:v>
      </x:c>
      <x:c r="C28" s="13" t="str">
        <x:v>Real PDF</x:v>
      </x:c>
      <x:c r="D28" s="13" t="str">
        <x:v>KP-25-066-PSWT</x:v>
      </x:c>
      <x:c r="E28" s="13" t="str">
        <x:v>Civil</x:v>
      </x:c>
      <x:c r="F28" s="13" t="str">
        <x:v>Paglilinaw sa pinagawang motor</x:v>
      </x:c>
      <x:c r="G28" s="13" t="str">
        <x:v>August 6, 2025</x:v>
      </x:c>
      <x:c r="H28" s="13" t="str">
        <x:v>-</x:v>
      </x:c>
      <x:c r="I28" s="13" t="str">
        <x:v>Hindi dumadating ang ipinagsumbong kaya't ang maysumbong ay may karapatan ng maghain ng kaukulang reklamo sa kinauukulang tanggapan.</x:v>
      </x:c>
      <x:c r="J28" s="13" t="str">
        <x:v>Endorsed</x:v>
      </x:c>
      <x:c r="K28" s="13" t="str">
        <x:v>KP_COVERED_AMICABLE</x:v>
      </x:c>
      <x:c r="L28" s="13" t="str">
        <x:v>Eligible for KP screening</x:v>
      </x:c>
      <x:c r="M28" s="13" t="str">
        <x:v>Proceed to barangay conciliation / mediation screening</x:v>
      </x:c>
      <x:c r="N28" s="13" t="str">
        <x:v>Civil money/property return or small-contract dispute suitable for barangay conciliation if parties meet KP requirements.</x:v>
      </x:c>
      <x:c r="O28" s="13" t="str"/>
      <x:c r="P28" s="13" t="str">
        <x:v>Paglilinaw sa pinagawang motor</x:v>
      </x:c>
      <x:c r="Q28" s="13" t="str"/>
      <x:c r="R28" s="13" t="str">
        <x:v>KP CASE PSWT - Sheet1 - KP CASE PSWT - Sheet1.pdf</x:v>
      </x:c>
    </x:row>
    <x:row r="29" ht="36" customHeight="1">
      <x:c r="A29" s="13" t="str">
        <x:v>KP-25-067-PSWT</x:v>
      </x:c>
      <x:c r="B29" s="13" t="str">
        <x:v>debt</x:v>
      </x:c>
      <x:c r="C29" s="13" t="str">
        <x:v>Real PDF</x:v>
      </x:c>
      <x:c r="D29" s="13" t="str">
        <x:v>KP-25-067-PSWT</x:v>
      </x:c>
      <x:c r="E29" s="13" t="str">
        <x:v>Civil</x:v>
      </x:c>
      <x:c r="F29" s="13" t="str">
        <x:v>Hindi pagbabayad sa utang</x:v>
      </x:c>
      <x:c r="G29" s="13" t="str">
        <x:v>August 7, 2025</x:v>
      </x:c>
      <x:c r="H29" s="13" t="str">
        <x:v>August 12, 2025</x:v>
      </x:c>
      <x:c r="I29" s="13" t="str">
        <x:v>Nagkaroon ng pagkakasundo at nangako ang ipinagsumbong na magbibigay ng P2,500 para sa bigas na nakuha at maghuhulog ng P1,000 linggo-linggo hanggang matapos ang P8,500.</x:v>
      </x:c>
      <x:c r="J29" s="13" t="str">
        <x:v>Settled</x:v>
      </x:c>
      <x:c r="K29" s="13" t="str">
        <x:v>KP_COVERED_AMICABLE</x:v>
      </x:c>
      <x:c r="L29" s="13" t="str">
        <x:v>Eligible for KP screening</x:v>
      </x:c>
      <x:c r="M29" s="13" t="str">
        <x:v>Proceed to barangay conciliation / mediation screening</x:v>
      </x:c>
      <x:c r="N29" s="13" t="str">
        <x:v>Civil money/property return or small-contract dispute suitable for barangay conciliation if parties meet KP requirements.</x:v>
      </x:c>
      <x:c r="O29" s="13" t="str">
        <x:v>P2,500; P1,000; P8,500</x:v>
      </x:c>
      <x:c r="P29" s="13" t="str">
        <x:v>Hindi pagbabayad sa utang</x:v>
      </x:c>
      <x:c r="Q29" s="13" t="str"/>
      <x:c r="R29" s="13" t="str">
        <x:v>KP CASE PSWT - Sheet1 - KP CASE PSWT - Sheet1.pdf</x:v>
      </x:c>
    </x:row>
    <x:row r="30" ht="36" customHeight="1">
      <x:c r="A30" s="13" t="str">
        <x:v>KP-25-068-PSWT</x:v>
      </x:c>
      <x:c r="B30" s="13" t="str">
        <x:v>debt</x:v>
      </x:c>
      <x:c r="C30" s="13" t="str">
        <x:v>Real PDF</x:v>
      </x:c>
      <x:c r="D30" s="13" t="str">
        <x:v>KP-25-068-PSWT</x:v>
      </x:c>
      <x:c r="E30" s="13" t="str">
        <x:v>Civil</x:v>
      </x:c>
      <x:c r="F30" s="13" t="str">
        <x:v>Paglilinaw sa order na kahoy</x:v>
      </x:c>
      <x:c r="G30" s="13" t="str">
        <x:v>August 7, 2025</x:v>
      </x:c>
      <x:c r="H30" s="13" t="str">
        <x:v>-</x:v>
      </x:c>
      <x:c r="I30" s="13" t="str">
        <x:v>Walang pagkakasundo sa dalawang panig kaya't ang maysumbong ay may karapatan ng maghain ng kaukulang reklamo sa kinauukulang tanggapan.</x:v>
      </x:c>
      <x:c r="J30" s="13" t="str">
        <x:v>Endorsed</x:v>
      </x:c>
      <x:c r="K30" s="13" t="str">
        <x:v>KP_COVERED_AMICABLE</x:v>
      </x:c>
      <x:c r="L30" s="13" t="str">
        <x:v>Eligible for KP screening</x:v>
      </x:c>
      <x:c r="M30" s="13" t="str">
        <x:v>Proceed to barangay conciliation / mediation screening</x:v>
      </x:c>
      <x:c r="N30" s="13" t="str">
        <x:v>Civil money/property return or small-contract dispute suitable for barangay conciliation if parties meet KP requirements.</x:v>
      </x:c>
      <x:c r="O30" s="13" t="str"/>
      <x:c r="P30" s="13" t="str">
        <x:v>Paglilinaw sa order na kahoy</x:v>
      </x:c>
      <x:c r="Q30" s="13" t="str"/>
      <x:c r="R30" s="13" t="str">
        <x:v>KP CASE PSWT - Sheet1 - KP CASE PSWT - Sheet1.pdf</x:v>
      </x:c>
    </x:row>
    <x:row r="31" ht="36" customHeight="1">
      <x:c r="A31" s="13" t="str">
        <x:v>KP-25-069-PSWT</x:v>
      </x:c>
      <x:c r="B31" s="13" t="str">
        <x:v>debt</x:v>
      </x:c>
      <x:c r="C31" s="13" t="str">
        <x:v>Real PDF</x:v>
      </x:c>
      <x:c r="D31" s="13" t="str">
        <x:v>KP-25-069-PSWT</x:v>
      </x:c>
      <x:c r="E31" s="13" t="str">
        <x:v>Criminal</x:v>
      </x:c>
      <x:c r="F31" s="13" t="str">
        <x:v>Paninirang puri gamit FAceBook</x:v>
      </x:c>
      <x:c r="G31" s="13" t="str">
        <x:v>August 8, 2025</x:v>
      </x:c>
      <x:c r="H31" s="13" t="str">
        <x:v>August 22, 2025</x:v>
      </x:c>
      <x:c r="I31" s="13" t="str">
        <x:v>Nagkalinawan ang dalawang panig, iiwasan ang magparinigan at walang pakialamanan.</x:v>
      </x:c>
      <x:c r="J31" s="13" t="str">
        <x:v>Settled</x:v>
      </x:c>
      <x:c r="K31" s="13" t="str">
        <x:v>KP_COVERED_AMICABLE</x:v>
      </x:c>
      <x:c r="L31" s="13" t="str">
        <x:v>Eligible for KP screening</x:v>
      </x:c>
      <x:c r="M31" s="13" t="str">
        <x:v>Proceed to barangay conciliation / mediation screening</x:v>
      </x:c>
      <x:c r="N31" s="13" t="str">
        <x:v>Civil money/property return or small-contract dispute suitable for barangay conciliation if parties meet KP requirements.</x:v>
      </x:c>
      <x:c r="O31" s="13" t="str"/>
      <x:c r="P31" s="13" t="str">
        <x:v>Paninirang puri gamit FAceBook</x:v>
      </x:c>
      <x:c r="Q31" s="13" t="str"/>
      <x:c r="R31" s="13" t="str">
        <x:v>KP CASE PSWT - Sheet1 - KP CASE PSWT - Sheet1.pdf</x:v>
      </x:c>
    </x:row>
    <x:row r="32" ht="36" customHeight="1">
      <x:c r="A32" s="13" t="str">
        <x:v>KP-25-077-PSWT</x:v>
      </x:c>
      <x:c r="B32" s="13" t="str">
        <x:v>debt</x:v>
      </x:c>
      <x:c r="C32" s="13" t="str">
        <x:v>Real PDF</x:v>
      </x:c>
      <x:c r="D32" s="13" t="str">
        <x:v>KP-25-077-PSWT</x:v>
      </x:c>
      <x:c r="E32" s="13" t="str">
        <x:v>Civil</x:v>
      </x:c>
      <x:c r="F32" s="13" t="str">
        <x:v>Hindi pagbabayad sa utang</x:v>
      </x:c>
      <x:c r="G32" s="13" t="str">
        <x:v>August 20, 2025</x:v>
      </x:c>
      <x:c r="H32" s="13" t="str">
        <x:v>-</x:v>
      </x:c>
      <x:c r="I32" s="13" t="str">
        <x:v>Walang pagkakasundo sa dalawang panig kaya't ang maysumbong ay may karapatan ng maghain ng kaukulang reklamo sa kinauukulang tanggapan.</x:v>
      </x:c>
      <x:c r="J32" s="13" t="str">
        <x:v>Endorsed</x:v>
      </x:c>
      <x:c r="K32" s="13" t="str">
        <x:v>KP_COVERED_AMICABLE</x:v>
      </x:c>
      <x:c r="L32" s="13" t="str">
        <x:v>Eligible for KP screening</x:v>
      </x:c>
      <x:c r="M32" s="13" t="str">
        <x:v>Proceed to barangay conciliation / mediation screening</x:v>
      </x:c>
      <x:c r="N32" s="13" t="str">
        <x:v>Civil money/property return or small-contract dispute suitable for barangay conciliation if parties meet KP requirements.</x:v>
      </x:c>
      <x:c r="O32" s="13" t="str"/>
      <x:c r="P32" s="13" t="str">
        <x:v>Hindi pagbabayad sa utang</x:v>
      </x:c>
      <x:c r="Q32" s="13" t="str"/>
      <x:c r="R32" s="13" t="str">
        <x:v>KP CASE PSWT - Sheet1 - KP CASE PSWT - Sheet1.pdf</x:v>
      </x:c>
    </x:row>
    <x:row r="33" ht="36" customHeight="1">
      <x:c r="A33" s="13" t="str">
        <x:v>KP-25-079-PSWT</x:v>
      </x:c>
      <x:c r="B33" s="13" t="str">
        <x:v>debt</x:v>
      </x:c>
      <x:c r="C33" s="13" t="str">
        <x:v>Real PDF</x:v>
      </x:c>
      <x:c r="D33" s="13" t="str">
        <x:v>KP-25-079-PSWT</x:v>
      </x:c>
      <x:c r="E33" s="13" t="str">
        <x:v>Civil</x:v>
      </x:c>
      <x:c r="F33" s="13" t="str">
        <x:v>Paglilinaw sa utang</x:v>
      </x:c>
      <x:c r="G33" s="13" t="str">
        <x:v>September 1, 2025</x:v>
      </x:c>
      <x:c r="H33" s="13" t="str">
        <x:v>-</x:v>
      </x:c>
      <x:c r="I33" s="13" t="str">
        <x:v>Walang pagkakasundo sa dalawang panig kaya't ang maysumbong ay may karapatan ng maghain ng kaukulang reklamo sa kinauukulang tanggapan.</x:v>
      </x:c>
      <x:c r="J33" s="13" t="str">
        <x:v>Endorsed</x:v>
      </x:c>
      <x:c r="K33" s="13" t="str">
        <x:v>KP_COVERED_AMICABLE</x:v>
      </x:c>
      <x:c r="L33" s="13" t="str">
        <x:v>Eligible for KP screening</x:v>
      </x:c>
      <x:c r="M33" s="13" t="str">
        <x:v>Proceed to barangay conciliation / mediation screening</x:v>
      </x:c>
      <x:c r="N33" s="13" t="str">
        <x:v>Civil money/property return or small-contract dispute suitable for barangay conciliation if parties meet KP requirements.</x:v>
      </x:c>
      <x:c r="O33" s="13" t="str"/>
      <x:c r="P33" s="13" t="str">
        <x:v>Paglilinaw sa utang</x:v>
      </x:c>
      <x:c r="Q33" s="13" t="str"/>
      <x:c r="R33" s="13" t="str">
        <x:v>KP CASE PSWT - Sheet1 - KP CASE PSWT - Sheet1.pdf</x:v>
      </x:c>
    </x:row>
    <x:row r="34" ht="36" customHeight="1">
      <x:c r="A34" s="13" t="str">
        <x:v>KP-25-081-PSWT</x:v>
      </x:c>
      <x:c r="B34" s="13" t="str">
        <x:v>debt</x:v>
      </x:c>
      <x:c r="C34" s="13" t="str">
        <x:v>Real PDF</x:v>
      </x:c>
      <x:c r="D34" s="13" t="str">
        <x:v>KP-25-081-PSWT</x:v>
      </x:c>
      <x:c r="E34" s="13" t="str">
        <x:v>Civil</x:v>
      </x:c>
      <x:c r="F34" s="13" t="str">
        <x:v>Paglilinaw sa inutang na pera at pinagawang jeep</x:v>
      </x:c>
      <x:c r="G34" s="13" t="str">
        <x:v>September 12, 2025</x:v>
      </x:c>
      <x:c r="H34" s="13" t="str">
        <x:v>October 3, 2025</x:v>
      </x:c>
      <x:c r="I34" s="13" t="str">
        <x:v>Ang usapin ay tinatapos na nagbayad ang ipinagsumbiong ng P5,000 sa maysumbong.</x:v>
      </x:c>
      <x:c r="J34" s="13" t="str">
        <x:v>Settled</x:v>
      </x:c>
      <x:c r="K34" s="13" t="str">
        <x:v>KP_COVERED_AMICABLE</x:v>
      </x:c>
      <x:c r="L34" s="13" t="str">
        <x:v>Eligible for KP screening</x:v>
      </x:c>
      <x:c r="M34" s="13" t="str">
        <x:v>Proceed to barangay conciliation / mediation screening</x:v>
      </x:c>
      <x:c r="N34" s="13" t="str">
        <x:v>Civil money/property return or small-contract dispute suitable for barangay conciliation if parties meet KP requirements.</x:v>
      </x:c>
      <x:c r="O34" s="13" t="str">
        <x:v>P5,000</x:v>
      </x:c>
      <x:c r="P34" s="13" t="str">
        <x:v>Paglilinaw sa inutang na pera at pinagawang jeep</x:v>
      </x:c>
      <x:c r="Q34" s="13" t="str"/>
      <x:c r="R34" s="13" t="str">
        <x:v>KP CASE PSWT - Sheet1 - KP CASE PSWT - Sheet1.pdf</x:v>
      </x:c>
    </x:row>
    <x:row r="35" ht="36" customHeight="1">
      <x:c r="A35" s="13" t="str">
        <x:v>KP-25-082-PSWT</x:v>
      </x:c>
      <x:c r="B35" s="13" t="str">
        <x:v>debt</x:v>
      </x:c>
      <x:c r="C35" s="13" t="str">
        <x:v>Real PDF</x:v>
      </x:c>
      <x:c r="D35" s="13" t="str">
        <x:v>KP-25-082-PSWT</x:v>
      </x:c>
      <x:c r="E35" s="13" t="str">
        <x:v>Civil</x:v>
      </x:c>
      <x:c r="F35" s="13" t="str">
        <x:v>Paglilinaw sa pinagawang kuntador ng Meralco</x:v>
      </x:c>
      <x:c r="G35" s="13" t="str">
        <x:v>September 18, 2025</x:v>
      </x:c>
      <x:c r="H35" s="13" t="str">
        <x:v>-</x:v>
      </x:c>
      <x:c r="I35" s="13" t="str">
        <x:v>Ang ipinagsumbong ay hindi nadating sa araw ng paghaharap kaya't ang maysumbong ay may karapatan ng maghain ng kaukulang reklamo sa kinauukulang tanggapan.</x:v>
      </x:c>
      <x:c r="J35" s="13" t="str">
        <x:v>Endorsed</x:v>
      </x:c>
      <x:c r="K35" s="13" t="str">
        <x:v>KP_COVERED_AMICABLE</x:v>
      </x:c>
      <x:c r="L35" s="13" t="str">
        <x:v>Eligible for KP screening</x:v>
      </x:c>
      <x:c r="M35" s="13" t="str">
        <x:v>Proceed to barangay conciliation / mediation screening</x:v>
      </x:c>
      <x:c r="N35" s="13" t="str">
        <x:v>Civil money/property return or small-contract dispute suitable for barangay conciliation if parties meet KP requirements.</x:v>
      </x:c>
      <x:c r="O35" s="13" t="str"/>
      <x:c r="P35" s="13" t="str">
        <x:v>Paglilinaw sa pinagawang kuntador ng Meralco</x:v>
      </x:c>
      <x:c r="Q35" s="13" t="str"/>
      <x:c r="R35" s="13" t="str">
        <x:v>KP CASE PSWT - Sheet1 - KP CASE PSWT - Sheet1.pdf</x:v>
      </x:c>
    </x:row>
    <x:row r="36" ht="36" customHeight="1">
      <x:c r="A36" s="13" t="str">
        <x:v>KP-25-084-PSWT</x:v>
      </x:c>
      <x:c r="B36" s="13" t="str">
        <x:v>debt</x:v>
      </x:c>
      <x:c r="C36" s="13" t="str">
        <x:v>Real PDF</x:v>
      </x:c>
      <x:c r="D36" s="13" t="str">
        <x:v>KP-25-084-PSWT</x:v>
      </x:c>
      <x:c r="E36" s="13" t="str">
        <x:v>Civil</x:v>
      </x:c>
      <x:c r="F36" s="13" t="str">
        <x:v>Hindi pagbabayad sa utang</x:v>
      </x:c>
      <x:c r="G36" s="13" t="str">
        <x:v>September 22, 2025</x:v>
      </x:c>
      <x:c r="H36" s="13" t="str">
        <x:v>October 3, 2025</x:v>
      </x:c>
      <x:c r="I36" s="13" t="str">
        <x:v>Nagkaroon ng pagkakasundo at nangako ang ipinagsumbong na maghuhulog siya ng P300 para sa maysumbong. Magsisismula sa October 5, 2025.</x:v>
      </x:c>
      <x:c r="J36" s="13" t="str">
        <x:v>Settled</x:v>
      </x:c>
      <x:c r="K36" s="13" t="str">
        <x:v>KP_COVERED_AMICABLE</x:v>
      </x:c>
      <x:c r="L36" s="13" t="str">
        <x:v>Eligible for KP screening</x:v>
      </x:c>
      <x:c r="M36" s="13" t="str">
        <x:v>Proceed to barangay conciliation / mediation screening</x:v>
      </x:c>
      <x:c r="N36" s="13" t="str">
        <x:v>Civil money/property return or small-contract dispute suitable for barangay conciliation if parties meet KP requirements.</x:v>
      </x:c>
      <x:c r="O36" s="13" t="str">
        <x:v>P300</x:v>
      </x:c>
      <x:c r="P36" s="13" t="str">
        <x:v>Hindi pagbabayad sa utang</x:v>
      </x:c>
      <x:c r="Q36" s="13" t="str"/>
      <x:c r="R36" s="13" t="str">
        <x:v>KP CASE PSWT - Sheet1 - KP CASE PSWT - Sheet1.pdf</x:v>
      </x:c>
    </x:row>
    <x:row r="37" ht="36" customHeight="1">
      <x:c r="A37" s="13" t="str">
        <x:v>KP-25-087-PSWT</x:v>
      </x:c>
      <x:c r="B37" s="13" t="str">
        <x:v>debt</x:v>
      </x:c>
      <x:c r="C37" s="13" t="str">
        <x:v>Real PDF</x:v>
      </x:c>
      <x:c r="D37" s="13" t="str">
        <x:v>KP-25-087-PSWT</x:v>
      </x:c>
      <x:c r="E37" s="13" t="str">
        <x:v>Civil</x:v>
      </x:c>
      <x:c r="F37" s="13" t="str">
        <x:v>Hindi pagbabayad sa utang</x:v>
      </x:c>
      <x:c r="G37" s="13" t="str">
        <x:v>October 9, 2025</x:v>
      </x:c>
      <x:c r="H37" s="13" t="str">
        <x:v>October 16, 2025</x:v>
      </x:c>
      <x:c r="I37" s="13" t="str">
        <x:v>Ipaparating ng maysumbong sa boss niya na ang kakayahan ng ipinagsumbong na ang hulog ay P500 tuwing ika-5 at ika-20 ng buwan hanggang matapos ang halagang P4,000. Nagsasbai sa barangay ang maysumbong na pumayag ang boss ng maysumbong sa kakayahan ng ipinagsumbong.</x:v>
      </x:c>
      <x:c r="J37" s="13" t="str">
        <x:v>Settled</x:v>
      </x:c>
      <x:c r="K37" s="13" t="str">
        <x:v>KP_COVERED_AMICABLE</x:v>
      </x:c>
      <x:c r="L37" s="13" t="str">
        <x:v>Eligible for KP screening</x:v>
      </x:c>
      <x:c r="M37" s="13" t="str">
        <x:v>Proceed to barangay conciliation / mediation screening</x:v>
      </x:c>
      <x:c r="N37" s="13" t="str">
        <x:v>Civil money/property return or small-contract dispute suitable for barangay conciliation if parties meet KP requirements.</x:v>
      </x:c>
      <x:c r="O37" s="13" t="str">
        <x:v>P500; P4,000</x:v>
      </x:c>
      <x:c r="P37" s="13" t="str">
        <x:v>Hindi pagbabayad sa utang</x:v>
      </x:c>
      <x:c r="Q37" s="13" t="str"/>
      <x:c r="R37" s="13" t="str">
        <x:v>KP CASE PSWT - Sheet1 - KP CASE PSWT - Sheet1.pdf</x:v>
      </x:c>
    </x:row>
    <x:row r="38" ht="36" customHeight="1">
      <x:c r="A38" s="13" t="str">
        <x:v>KP-25-089-PSWT</x:v>
      </x:c>
      <x:c r="B38" s="13" t="str">
        <x:v>debt</x:v>
      </x:c>
      <x:c r="C38" s="13" t="str">
        <x:v>Real PDF</x:v>
      </x:c>
      <x:c r="D38" s="13" t="str">
        <x:v>KP-25-089-PSWT</x:v>
      </x:c>
      <x:c r="E38" s="13" t="str">
        <x:v>Civil</x:v>
      </x:c>
      <x:c r="F38" s="13" t="str">
        <x:v>Paglilinaw sa utang</x:v>
      </x:c>
      <x:c r="G38" s="13" t="str">
        <x:v>October 9, 2025</x:v>
      </x:c>
      <x:c r="H38" s="13" t="str">
        <x:v>October 21, 2025</x:v>
      </x:c>
      <x:c r="I38" s="13" t="str">
        <x:v>Nagkaroon ng pagkakasundo at nangako ang ipinagsumbong na magbibigay ng P300 tuwing Miyerkules at P400 tuwing Lunes.</x:v>
      </x:c>
      <x:c r="J38" s="13" t="str">
        <x:v>Settled</x:v>
      </x:c>
      <x:c r="K38" s="13" t="str">
        <x:v>KP_COVERED_AMICABLE</x:v>
      </x:c>
      <x:c r="L38" s="13" t="str">
        <x:v>Eligible for KP screening</x:v>
      </x:c>
      <x:c r="M38" s="13" t="str">
        <x:v>Proceed to barangay conciliation / mediation screening</x:v>
      </x:c>
      <x:c r="N38" s="13" t="str">
        <x:v>Civil money/property return or small-contract dispute suitable for barangay conciliation if parties meet KP requirements.</x:v>
      </x:c>
      <x:c r="O38" s="13" t="str">
        <x:v>P300; P400</x:v>
      </x:c>
      <x:c r="P38" s="13" t="str">
        <x:v>Paglilinaw sa utang</x:v>
      </x:c>
      <x:c r="Q38" s="13" t="str"/>
      <x:c r="R38" s="13" t="str">
        <x:v>KP CASE PSWT - Sheet1 - KP CASE PSWT - Sheet1.pdf</x:v>
      </x:c>
    </x:row>
    <x:row r="39" ht="36" customHeight="1">
      <x:c r="A39" s="13" t="str">
        <x:v>KP-25-090-PSWT</x:v>
      </x:c>
      <x:c r="B39" s="13" t="str">
        <x:v>debt</x:v>
      </x:c>
      <x:c r="C39" s="13" t="str">
        <x:v>Real PDF</x:v>
      </x:c>
      <x:c r="D39" s="13" t="str">
        <x:v>KP-25-090-PSWT</x:v>
      </x:c>
      <x:c r="E39" s="13" t="str">
        <x:v>Civil</x:v>
      </x:c>
      <x:c r="F39" s="13" t="str">
        <x:v>Hindi pagbabayad sa utang</x:v>
      </x:c>
      <x:c r="G39" s="13" t="str">
        <x:v>October 10, 2025</x:v>
      </x:c>
      <x:c r="H39" s="13" t="str">
        <x:v>October 17, 2025</x:v>
      </x:c>
      <x:c r="I39" s="13" t="str">
        <x:v>Nagkasundo at nangako ang ipinagsumbong na maghuhulog ng P500 tuwing ika-15 at ika-30 ng buwan. Pakiusap na sana ay tuloy-tuloy na at kapag hindi nakakatupad kukuha ang maysumbong ng endorsement.</x:v>
      </x:c>
      <x:c r="J39" s="13" t="str">
        <x:v>Settled</x:v>
      </x:c>
      <x:c r="K39" s="13" t="str">
        <x:v>KP_COVERED_AMICABLE</x:v>
      </x:c>
      <x:c r="L39" s="13" t="str">
        <x:v>Eligible for KP screening</x:v>
      </x:c>
      <x:c r="M39" s="13" t="str">
        <x:v>Proceed to barangay conciliation / mediation screening</x:v>
      </x:c>
      <x:c r="N39" s="13" t="str">
        <x:v>Civil money/property return or small-contract dispute suitable for barangay conciliation if parties meet KP requirements.</x:v>
      </x:c>
      <x:c r="O39" s="13" t="str">
        <x:v>P500</x:v>
      </x:c>
      <x:c r="P39" s="13" t="str">
        <x:v>Hindi pagbabayad sa utang</x:v>
      </x:c>
      <x:c r="Q39" s="13" t="str"/>
      <x:c r="R39" s="13" t="str">
        <x:v>KP CASE PSWT - Sheet1 - KP CASE PSWT - Sheet1.pdf</x:v>
      </x:c>
    </x:row>
    <x:row r="40" ht="36" customHeight="1">
      <x:c r="A40" s="13" t="str">
        <x:v>KP-25-092-PSWT</x:v>
      </x:c>
      <x:c r="B40" s="13" t="str">
        <x:v>debt</x:v>
      </x:c>
      <x:c r="C40" s="13" t="str">
        <x:v>Real PDF</x:v>
      </x:c>
      <x:c r="D40" s="13" t="str">
        <x:v>KP-25-092-PSWT</x:v>
      </x:c>
      <x:c r="E40" s="13" t="str">
        <x:v>Civil</x:v>
      </x:c>
      <x:c r="F40" s="13" t="str">
        <x:v>Paglilinaw sa mga nakuhang pera</x:v>
      </x:c>
      <x:c r="G40" s="13" t="str">
        <x:v>October 15, 2025</x:v>
      </x:c>
      <x:c r="H40" s="13" t="str">
        <x:v>November 5, 2025</x:v>
      </x:c>
      <x:c r="I40" s="13" t="str">
        <x:v>Nagkaroon ng pagkakaunawaan na magbibigay ang ipinagsumbong ng P3,000 buwan-buwan. Magsisimula sa November, 2025.</x:v>
      </x:c>
      <x:c r="J40" s="13" t="str">
        <x:v>Settled</x:v>
      </x:c>
      <x:c r="K40" s="13" t="str">
        <x:v>KP_COVERED_AMICABLE</x:v>
      </x:c>
      <x:c r="L40" s="13" t="str">
        <x:v>Eligible for KP screening</x:v>
      </x:c>
      <x:c r="M40" s="13" t="str">
        <x:v>Proceed to barangay conciliation / mediation screening</x:v>
      </x:c>
      <x:c r="N40" s="13" t="str">
        <x:v>Civil money/property return or small-contract dispute suitable for barangay conciliation if parties meet KP requirements.</x:v>
      </x:c>
      <x:c r="O40" s="13" t="str">
        <x:v>P3,000</x:v>
      </x:c>
      <x:c r="P40" s="13" t="str">
        <x:v>Paglilinaw sa mga nakuhang pera</x:v>
      </x:c>
      <x:c r="Q40" s="13" t="str"/>
      <x:c r="R40" s="13" t="str">
        <x:v>KP CASE PSWT - Sheet1 - KP CASE PSWT - Sheet1.pdf</x:v>
      </x:c>
    </x:row>
    <x:row r="41" ht="36" customHeight="1">
      <x:c r="A41" s="13" t="str">
        <x:v>KP-25-093-PSWT</x:v>
      </x:c>
      <x:c r="B41" s="13" t="str">
        <x:v>debt</x:v>
      </x:c>
      <x:c r="C41" s="13" t="str">
        <x:v>Real PDF</x:v>
      </x:c>
      <x:c r="D41" s="13" t="str">
        <x:v>KP-25-093-PSWT</x:v>
      </x:c>
      <x:c r="E41" s="13" t="str">
        <x:v>Criminal</x:v>
      </x:c>
      <x:c r="F41" s="13" t="str">
        <x:v>Hindi pagbabayad sa utang</x:v>
      </x:c>
      <x:c r="G41" s="13" t="str">
        <x:v>October 17, 2025</x:v>
      </x:c>
      <x:c r="H41" s="13" t="str">
        <x:v>October 28, 2025</x:v>
      </x:c>
      <x:c r="I41" s="13" t="str">
        <x:v>Nagkasundo at nangako ang ipinagsumbong na magbibigay ng P500 tuwing ika-15 at ikaw-30 ng buwan. Magsisimula sa December, 2025.</x:v>
      </x:c>
      <x:c r="J41" s="13" t="str">
        <x:v>Settled</x:v>
      </x:c>
      <x:c r="K41" s="13" t="str">
        <x:v>KP_COVERED_AMICABLE</x:v>
      </x:c>
      <x:c r="L41" s="13" t="str">
        <x:v>Eligible for KP screening</x:v>
      </x:c>
      <x:c r="M41" s="13" t="str">
        <x:v>Proceed to barangay conciliation / mediation screening</x:v>
      </x:c>
      <x:c r="N41" s="13" t="str">
        <x:v>Civil money/property return or small-contract dispute suitable for barangay conciliation if parties meet KP requirements.</x:v>
      </x:c>
      <x:c r="O41" s="13" t="str">
        <x:v>P500</x:v>
      </x:c>
      <x:c r="P41" s="13" t="str">
        <x:v>Hindi pagbabayad sa utang</x:v>
      </x:c>
      <x:c r="Q41" s="13" t="str"/>
      <x:c r="R41" s="13" t="str">
        <x:v>KP CASE PSWT - Sheet1 - KP CASE PSWT - Sheet1.pdf</x:v>
      </x:c>
    </x:row>
    <x:row r="42" ht="36" customHeight="1">
      <x:c r="A42" s="13" t="str">
        <x:v>KP-25-098-PSWT</x:v>
      </x:c>
      <x:c r="B42" s="13" t="str">
        <x:v>debt</x:v>
      </x:c>
      <x:c r="C42" s="13" t="str">
        <x:v>Real PDF</x:v>
      </x:c>
      <x:c r="D42" s="13" t="str">
        <x:v>KP-25-098-PSWT</x:v>
      </x:c>
      <x:c r="E42" s="13" t="str">
        <x:v>Civil</x:v>
      </x:c>
      <x:c r="F42" s="13" t="str">
        <x:v>Paglilinaw sa utang</x:v>
      </x:c>
      <x:c r="G42" s="13" t="str">
        <x:v>November 4, 2025</x:v>
      </x:c>
      <x:c r="H42" s="13" t="str">
        <x:v>-</x:v>
      </x:c>
      <x:c r="I42" s="13" t="str">
        <x:v>Walang pagkakasundo sa dalawang panig. Nagsabi ang bawat isa na sila ay willing magbyad subalit hindi kaya ang P600 linggo-linggo.</x:v>
      </x:c>
      <x:c r="J42" s="13" t="str">
        <x:v>Pending</x:v>
      </x:c>
      <x:c r="K42" s="13" t="str">
        <x:v>KP_COVERED_AMICABLE</x:v>
      </x:c>
      <x:c r="L42" s="13" t="str">
        <x:v>Eligible for KP screening</x:v>
      </x:c>
      <x:c r="M42" s="13" t="str">
        <x:v>Proceed to barangay conciliation / mediation screening</x:v>
      </x:c>
      <x:c r="N42" s="13" t="str">
        <x:v>Civil money/property return or small-contract dispute suitable for barangay conciliation if parties meet KP requirements.</x:v>
      </x:c>
      <x:c r="O42" s="13" t="str">
        <x:v>P600</x:v>
      </x:c>
      <x:c r="P42" s="13" t="str">
        <x:v>Paglilinaw sa utang</x:v>
      </x:c>
      <x:c r="Q42" s="13" t="str"/>
      <x:c r="R42" s="13" t="str">
        <x:v>KP CASE PSWT - Sheet1 - KP CASE PSWT - Sheet1.pdf</x:v>
      </x:c>
    </x:row>
    <x:row r="43" ht="36" customHeight="1">
      <x:c r="A43" s="13" t="str">
        <x:v>KP-25-099-PSWT</x:v>
      </x:c>
      <x:c r="B43" s="13" t="str">
        <x:v>debt</x:v>
      </x:c>
      <x:c r="C43" s="13" t="str">
        <x:v>Real PDF</x:v>
      </x:c>
      <x:c r="D43" s="13" t="str">
        <x:v>KP-25-099-PSWT</x:v>
      </x:c>
      <x:c r="E43" s="13" t="str">
        <x:v>Civil</x:v>
      </x:c>
      <x:c r="F43" s="13" t="str">
        <x:v>Hindi pagbabayad sa utang</x:v>
      </x:c>
      <x:c r="G43" s="13" t="str">
        <x:v>November 4, 2025</x:v>
      </x:c>
      <x:c r="H43" s="13" t="str">
        <x:v>-</x:v>
      </x:c>
      <x:c r="I43" s="13" t="str">
        <x:v>Nagkaroon ng pagkakaunawaan at nangako ang ipinagsumbong na magbabayad hanggang katapusan ng November, 2025.</x:v>
      </x:c>
      <x:c r="J43" s="13" t="str">
        <x:v>Settled</x:v>
      </x:c>
      <x:c r="K43" s="13" t="str">
        <x:v>KP_COVERED_AMICABLE</x:v>
      </x:c>
      <x:c r="L43" s="13" t="str">
        <x:v>Eligible for KP screening</x:v>
      </x:c>
      <x:c r="M43" s="13" t="str">
        <x:v>Proceed to barangay conciliation / mediation screening</x:v>
      </x:c>
      <x:c r="N43" s="13" t="str">
        <x:v>Civil money/property return or small-contract dispute suitable for barangay conciliation if parties meet KP requirements.</x:v>
      </x:c>
      <x:c r="O43" s="13" t="str"/>
      <x:c r="P43" s="13" t="str">
        <x:v>Hindi pagbabayad sa utang</x:v>
      </x:c>
      <x:c r="Q43" s="13" t="str"/>
      <x:c r="R43" s="13" t="str">
        <x:v>KP CASE PSWT - Sheet1 - KP CASE PSWT - Sheet1.pdf</x:v>
      </x:c>
    </x:row>
    <x:row r="44" ht="36" customHeight="1">
      <x:c r="A44" s="13" t="str">
        <x:v>KP-25-100-PSWT</x:v>
      </x:c>
      <x:c r="B44" s="13" t="str">
        <x:v>debt</x:v>
      </x:c>
      <x:c r="C44" s="13" t="str">
        <x:v>Real PDF</x:v>
      </x:c>
      <x:c r="D44" s="13" t="str">
        <x:v>KP-25-100-PSWT</x:v>
      </x:c>
      <x:c r="E44" s="13" t="str">
        <x:v>Civil</x:v>
      </x:c>
      <x:c r="F44" s="13" t="str">
        <x:v>Hindi pagbabayad sa utang</x:v>
      </x:c>
      <x:c r="G44" s="13" t="str">
        <x:v>November 4, 2025</x:v>
      </x:c>
      <x:c r="H44" s="13" t="str">
        <x:v>November 7, 2025</x:v>
      </x:c>
      <x:c r="I44" s="13" t="str">
        <x:v>Nagkasundo na ang ipinagsumbong ay maghuhulog ng P300 tuwing Linggo para sa may sumbong at P300 para sa isa pang maysumbong tuwing Biyernes. Nagkasundo ang maysumbong at ipinagsumbong na ang utang na P28,800 ay huhulugan ng P600 linggo-linggo tuwing Lunes. Magsisimula ang hulog sa November 10, 2025.</x:v>
      </x:c>
      <x:c r="J44" s="13" t="str">
        <x:v>Settled</x:v>
      </x:c>
      <x:c r="K44" s="13" t="str">
        <x:v>KP_COVERED_AMICABLE</x:v>
      </x:c>
      <x:c r="L44" s="13" t="str">
        <x:v>Eligible for KP screening</x:v>
      </x:c>
      <x:c r="M44" s="13" t="str">
        <x:v>Proceed to barangay conciliation / mediation screening</x:v>
      </x:c>
      <x:c r="N44" s="13" t="str">
        <x:v>Civil money/property return or small-contract dispute suitable for barangay conciliation if parties meet KP requirements.</x:v>
      </x:c>
      <x:c r="O44" s="13" t="str">
        <x:v>P300; P300; P28,800; P600</x:v>
      </x:c>
      <x:c r="P44" s="13" t="str">
        <x:v>Hindi pagbabayad sa utang</x:v>
      </x:c>
      <x:c r="Q44" s="13" t="str"/>
      <x:c r="R44" s="13" t="str">
        <x:v>KP CASE PSWT - Sheet1 - KP CASE PSWT - Sheet1.pdf</x:v>
      </x:c>
    </x:row>
    <x:row r="45" ht="36" customHeight="1">
      <x:c r="A45" s="13" t="str">
        <x:v>KP-25-101-PSWT</x:v>
      </x:c>
      <x:c r="B45" s="13" t="str">
        <x:v>debt</x:v>
      </x:c>
      <x:c r="C45" s="13" t="str">
        <x:v>Real PDF</x:v>
      </x:c>
      <x:c r="D45" s="13" t="str">
        <x:v>KP-25-101-PSWT</x:v>
      </x:c>
      <x:c r="E45" s="13" t="str">
        <x:v>Civil</x:v>
      </x:c>
      <x:c r="F45" s="13" t="str">
        <x:v>Hindi pagbabayad sa upa ng bahay</x:v>
      </x:c>
      <x:c r="G45" s="13" t="str">
        <x:v>November 15, 2025</x:v>
      </x:c>
      <x:c r="H45" s="13" t="str">
        <x:v>-</x:v>
      </x:c>
      <x:c r="I45" s="13" t="str">
        <x:v>Hindi nadating ang ipinagsumbong sa tatlong patawag kaya't ang maysumbong ay may karapatan ng maghain ng kaukulang reklamo sa kinauukulang tanggapan.</x:v>
      </x:c>
      <x:c r="J45" s="13" t="str">
        <x:v>Endorsed</x:v>
      </x:c>
      <x:c r="K45" s="13" t="str">
        <x:v>KP_COVERED_AMICABLE</x:v>
      </x:c>
      <x:c r="L45" s="13" t="str">
        <x:v>Eligible for KP screening</x:v>
      </x:c>
      <x:c r="M45" s="13" t="str">
        <x:v>Proceed to barangay conciliation / mediation screening</x:v>
      </x:c>
      <x:c r="N45" s="13" t="str">
        <x:v>Civil money/property return or small-contract dispute suitable for barangay conciliation if parties meet KP requirements.</x:v>
      </x:c>
      <x:c r="O45" s="13" t="str"/>
      <x:c r="P45" s="13" t="str">
        <x:v>Hindi pagbabayad sa upa ng bahay</x:v>
      </x:c>
      <x:c r="Q45" s="13" t="str"/>
      <x:c r="R45" s="13" t="str">
        <x:v>KP CASE PSWT - Sheet1 - KP CASE PSWT - Sheet1.pdf</x:v>
      </x:c>
    </x:row>
    <x:row r="46" ht="36" customHeight="1">
      <x:c r="A46" s="13" t="str">
        <x:v>KP-25-105-PSWT</x:v>
      </x:c>
      <x:c r="B46" s="13" t="str">
        <x:v>debt</x:v>
      </x:c>
      <x:c r="C46" s="13" t="str">
        <x:v>Real PDF</x:v>
      </x:c>
      <x:c r="D46" s="13" t="str">
        <x:v>KP-25-105-PSWT</x:v>
      </x:c>
      <x:c r="E46" s="13" t="str">
        <x:v>Civil</x:v>
      </x:c>
      <x:c r="F46" s="13" t="str">
        <x:v>Hindi paghuhulog sa utang</x:v>
      </x:c>
      <x:c r="G46" s="13" t="str">
        <x:v>November 19, 2025</x:v>
      </x:c>
      <x:c r="H46" s="13" t="str">
        <x:v>November 26, 2025</x:v>
      </x:c>
      <x:c r="I46" s="13" t="str">
        <x:v>Sila ay nagkasundo na maghuhulog ang ipinagsumbong ng P4,000 buwan-buwan. Magsisimula siya ng November, 2025. Nakapagbigay siya ng P4, 000 sa bahay maysumbong.</x:v>
      </x:c>
      <x:c r="J46" s="13" t="str">
        <x:v>Settled</x:v>
      </x:c>
      <x:c r="K46" s="13" t="str">
        <x:v>KP_COVERED_AMICABLE</x:v>
      </x:c>
      <x:c r="L46" s="13" t="str">
        <x:v>Eligible for KP screening</x:v>
      </x:c>
      <x:c r="M46" s="13" t="str">
        <x:v>Proceed to barangay conciliation / mediation screening</x:v>
      </x:c>
      <x:c r="N46" s="13" t="str">
        <x:v>Civil money/property return or small-contract dispute suitable for barangay conciliation if parties meet KP requirements.</x:v>
      </x:c>
      <x:c r="O46" s="13" t="str">
        <x:v>P4,000; P4,</x:v>
      </x:c>
      <x:c r="P46" s="13" t="str">
        <x:v>Hindi paghuhulog sa utang</x:v>
      </x:c>
      <x:c r="Q46" s="13" t="str"/>
      <x:c r="R46" s="13" t="str">
        <x:v>KP CASE PSWT - Sheet1 - KP CASE PSWT - Sheet1.pdf</x:v>
      </x:c>
    </x:row>
    <x:row r="47" ht="36" customHeight="1">
      <x:c r="A47" s="13" t="str">
        <x:v>KP-25-107-PSWT</x:v>
      </x:c>
      <x:c r="B47" s="13" t="str">
        <x:v>debt</x:v>
      </x:c>
      <x:c r="C47" s="13" t="str">
        <x:v>Real PDF</x:v>
      </x:c>
      <x:c r="D47" s="13" t="str">
        <x:v>KP-25-107-PSWT</x:v>
      </x:c>
      <x:c r="E47" s="13" t="str">
        <x:v>Civil</x:v>
      </x:c>
      <x:c r="F47" s="13" t="str">
        <x:v>Paglilinaw sa isinanlang rehistro ng tricycle</x:v>
      </x:c>
      <x:c r="G47" s="13" t="str">
        <x:v>November 28, 2025</x:v>
      </x:c>
      <x:c r="H47" s="13" t="str">
        <x:v>December 4, 2025</x:v>
      </x:c>
      <x:c r="I47" s="13" t="str">
        <x:v>Nagkaroon ng pagkakasundo at nangako ang ipinagsumbong na magbibigay nng P700 kada dalawang linngo. Mag-uumpisa magbigay sa December 19, 2025.</x:v>
      </x:c>
      <x:c r="J47" s="13" t="str">
        <x:v>Settled</x:v>
      </x:c>
      <x:c r="K47" s="13" t="str">
        <x:v>KP_COVERED_AMICABLE</x:v>
      </x:c>
      <x:c r="L47" s="13" t="str">
        <x:v>Eligible for KP screening</x:v>
      </x:c>
      <x:c r="M47" s="13" t="str">
        <x:v>Proceed to barangay conciliation / mediation screening</x:v>
      </x:c>
      <x:c r="N47" s="13" t="str">
        <x:v>Civil money/property return or small-contract dispute suitable for barangay conciliation if parties meet KP requirements.</x:v>
      </x:c>
      <x:c r="O47" s="13" t="str">
        <x:v>P700</x:v>
      </x:c>
      <x:c r="P47" s="13" t="str">
        <x:v>Paglilinaw sa isinanlang rehistro ng tricycle</x:v>
      </x:c>
      <x:c r="Q47" s="13" t="str"/>
      <x:c r="R47" s="13" t="str">
        <x:v>KP CASE PSWT - Sheet1 - KP CASE PSWT - Sheet1.pdf</x:v>
      </x:c>
    </x:row>
    <x:row r="48" ht="36" customHeight="1">
      <x:c r="A48" s="13" t="str">
        <x:v>KP-25-111-PSWT</x:v>
      </x:c>
      <x:c r="B48" s="13" t="str">
        <x:v>debt</x:v>
      </x:c>
      <x:c r="C48" s="13" t="str">
        <x:v>Real PDF</x:v>
      </x:c>
      <x:c r="D48" s="13" t="str">
        <x:v>KP-25-111-PSWT</x:v>
      </x:c>
      <x:c r="E48" s="13" t="str">
        <x:v>Civil</x:v>
      </x:c>
      <x:c r="F48" s="13" t="str">
        <x:v>Hindi pagbabayad ng utang</x:v>
      </x:c>
      <x:c r="G48" s="13" t="str">
        <x:v>December 10, 2025</x:v>
      </x:c>
      <x:c r="H48" s="13" t="str">
        <x:v>-</x:v>
      </x:c>
      <x:c r="I48" s="13" t="str">
        <x:v>Nagkaroon ng pagkakasundo sa dalawang panig na magbabayad ang ipinagsumbong ng P300 tuwing katapusan hanggang matapos ang halagang P7,000.</x:v>
      </x:c>
      <x:c r="J48" s="13" t="str">
        <x:v>Settled</x:v>
      </x:c>
      <x:c r="K48" s="13" t="str">
        <x:v>KP_COVERED_AMICABLE</x:v>
      </x:c>
      <x:c r="L48" s="13" t="str">
        <x:v>Eligible for KP screening</x:v>
      </x:c>
      <x:c r="M48" s="13" t="str">
        <x:v>Proceed to barangay conciliation / mediation screening</x:v>
      </x:c>
      <x:c r="N48" s="13" t="str">
        <x:v>Civil money/property return or small-contract dispute suitable for barangay conciliation if parties meet KP requirements.</x:v>
      </x:c>
      <x:c r="O48" s="13" t="str">
        <x:v>P300; P7,000</x:v>
      </x:c>
      <x:c r="P48" s="13" t="str">
        <x:v>Hindi pagbabayad ng utang</x:v>
      </x:c>
      <x:c r="Q48" s="13" t="str"/>
      <x:c r="R48" s="13" t="str">
        <x:v>KP CASE PSWT - Sheet1 - KP CASE PSWT - Sheet1.pdf</x:v>
      </x:c>
    </x:row>
    <x:row r="49" ht="36" customHeight="1">
      <x:c r="A49" s="13" t="str">
        <x:v>KP-25-112-PSWT</x:v>
      </x:c>
      <x:c r="B49" s="13" t="str">
        <x:v>debt</x:v>
      </x:c>
      <x:c r="C49" s="13" t="str">
        <x:v>Real PDF</x:v>
      </x:c>
      <x:c r="D49" s="13" t="str">
        <x:v>KP-25-112-PSWT</x:v>
      </x:c>
      <x:c r="E49" s="13" t="str">
        <x:v>Civil</x:v>
      </x:c>
      <x:c r="F49" s="13" t="str">
        <x:v>Hindi pagbabayad ng inutang na karne</x:v>
      </x:c>
      <x:c r="G49" s="13" t="str">
        <x:v>December 11, 2025</x:v>
      </x:c>
      <x:c r="H49" s="13" t="str">
        <x:v>January 6, 2026</x:v>
      </x:c>
      <x:c r="I49" s="13" t="str">
        <x:v>Nangako ang ipinagsumbong na magbabayad sa pagloloan sa ASA sa first week ng February.</x:v>
      </x:c>
      <x:c r="J49" s="13" t="str">
        <x:v>Settled</x:v>
      </x:c>
      <x:c r="K49" s="13" t="str">
        <x:v>KP_COVERED_AMICABLE</x:v>
      </x:c>
      <x:c r="L49" s="13" t="str">
        <x:v>Eligible for KP screening</x:v>
      </x:c>
      <x:c r="M49" s="13" t="str">
        <x:v>Proceed to barangay conciliation / mediation screening</x:v>
      </x:c>
      <x:c r="N49" s="13" t="str">
        <x:v>Civil money/property return or small-contract dispute suitable for barangay conciliation if parties meet KP requirements.</x:v>
      </x:c>
      <x:c r="O49" s="13" t="str"/>
      <x:c r="P49" s="13" t="str">
        <x:v>Hindi pagbabayad ng inutang na karne</x:v>
      </x:c>
      <x:c r="Q49" s="13" t="str"/>
      <x:c r="R49" s="13" t="str">
        <x:v>KP CASE PSWT - Sheet1 - KP CASE PSWT - Sheet1.pdf</x:v>
      </x:c>
    </x:row>
    <x:row r="50" ht="36" customHeight="1">
      <x:c r="A50" s="13" t="str">
        <x:v>KP-25-113-PSWT</x:v>
      </x:c>
      <x:c r="B50" s="13" t="str">
        <x:v>debt</x:v>
      </x:c>
      <x:c r="C50" s="13" t="str">
        <x:v>Real PDF</x:v>
      </x:c>
      <x:c r="D50" s="13" t="str">
        <x:v>KP-25-113-PSWT</x:v>
      </x:c>
      <x:c r="E50" s="13" t="str">
        <x:v>Civil</x:v>
      </x:c>
      <x:c r="F50" s="13" t="str">
        <x:v>Hindi pagtupad sa pagbabayad ng utang</x:v>
      </x:c>
      <x:c r="G50" s="13" t="str">
        <x:v>December 13, 2025</x:v>
      </x:c>
      <x:c r="H50" s="13" t="str">
        <x:v>-</x:v>
      </x:c>
      <x:c r="I50" s="13" t="str">
        <x:v>Nangako ang ipinagsumbong na maghuhulog siya ng P1,000 tuwing ikaw-15 at ika-30 ng buwan.</x:v>
      </x:c>
      <x:c r="J50" s="13" t="str">
        <x:v>Settled</x:v>
      </x:c>
      <x:c r="K50" s="13" t="str">
        <x:v>KP_COVERED_AMICABLE</x:v>
      </x:c>
      <x:c r="L50" s="13" t="str">
        <x:v>Eligible for KP screening</x:v>
      </x:c>
      <x:c r="M50" s="13" t="str">
        <x:v>Proceed to barangay conciliation / mediation screening</x:v>
      </x:c>
      <x:c r="N50" s="13" t="str">
        <x:v>Civil money/property return or small-contract dispute suitable for barangay conciliation if parties meet KP requirements.</x:v>
      </x:c>
      <x:c r="O50" s="13" t="str">
        <x:v>P1,000</x:v>
      </x:c>
      <x:c r="P50" s="13" t="str">
        <x:v>Hindi pagtupad sa pagbabayad ng utang</x:v>
      </x:c>
      <x:c r="Q50" s="13" t="str"/>
      <x:c r="R50" s="13" t="str">
        <x:v>KP CASE PSWT - Sheet1 - KP CASE PSWT - Sheet1.pdf</x:v>
      </x:c>
    </x:row>
  </x:sheetData>
  <x:pageMargins left="0.7" right="0.7" top="0.75" bottom="0.75" header="0.3" footer="0.3"/>
  <x:tableParts count="1">
    <x:tablePart xmlns:r="http://schemas.openxmlformats.org/officeDocument/2006/relationships" r:id="R09de7994631e4599"/>
  </x:tableParts>
</x:worksheet>
</file>

<file path=xl/worksheets/sheet6.xml><?xml version="1.0" encoding="utf-8"?>
<x:worksheet xmlns:x="http://schemas.openxmlformats.org/spreadsheetml/2006/main">
  <x:sheetFormatPr defaultRowHeight="15"/>
  <x:cols>
    <x:col min="1" max="1" width="18" hidden="0" customWidth="1"/>
    <x:col min="2" max="2" width="22" hidden="0" customWidth="1"/>
    <x:col min="3" max="3" width="13" hidden="0" customWidth="1"/>
    <x:col min="4" max="4" width="18" hidden="0" customWidth="1"/>
    <x:col min="5" max="5" width="18" hidden="0" customWidth="1"/>
    <x:col min="6" max="6" width="38" hidden="0" customWidth="1"/>
    <x:col min="7" max="7" width="17" hidden="0" customWidth="1"/>
    <x:col min="9" max="9" width="55" hidden="0" customWidth="1"/>
    <x:col min="11" max="11" width="24" hidden="0" customWidth="1"/>
    <x:col min="12" max="12" width="32" hidden="0" customWidth="1"/>
    <x:col min="13" max="13" width="42" hidden="0" customWidth="1"/>
    <x:col min="14" max="14" width="50" hidden="0" customWidth="1"/>
    <x:col min="17" max="17" width="50" hidden="0" customWidth="1"/>
    <x:col min="18" max="18" width="35" hidden="0" customWidth="1"/>
  </x:cols>
  <x:sheetData>
    <x:row r="1" ht="42" customHeight="1">
      <x:c r="A1" s="6" t="str">
        <x:v>case_id</x:v>
      </x:c>
      <x:c r="B1" s="6" t="str">
        <x:v>case_type</x:v>
      </x:c>
      <x:c r="C1" s="6" t="str">
        <x:v>source_type</x:v>
      </x:c>
      <x:c r="D1" s="6" t="str">
        <x:v>source_pdf_case_id</x:v>
      </x:c>
      <x:c r="E1" s="6" t="str">
        <x:v>original_dispute_category</x:v>
      </x:c>
      <x:c r="F1" s="6" t="str">
        <x:v>original_nature</x:v>
      </x:c>
      <x:c r="G1" s="6" t="str">
        <x:v>date_filed</x:v>
      </x:c>
      <x:c r="H1" s="6" t="str">
        <x:v>date_of_settlement_or_award</x:v>
      </x:c>
      <x:c r="I1" s="6" t="str">
        <x:v>conversation_status</x:v>
      </x:c>
      <x:c r="J1" s="6" t="str">
        <x:v>action_taken</x:v>
      </x:c>
      <x:c r="K1" s="6" t="str">
        <x:v>justice_kp_label</x:v>
      </x:c>
      <x:c r="L1" s="6" t="str">
        <x:v>kp_eligibility</x:v>
      </x:c>
      <x:c r="M1" s="6" t="str">
        <x:v>recommended_system_action</x:v>
      </x:c>
      <x:c r="N1" s="6" t="str">
        <x:v>label_reason</x:v>
      </x:c>
      <x:c r="O1" s="6" t="str">
        <x:v>amount_or_penalty_reference</x:v>
      </x:c>
      <x:c r="P1" s="6" t="str">
        <x:v>evidence_of_type</x:v>
      </x:c>
      <x:c r="Q1" s="6" t="str">
        <x:v>synthetic_generation_note</x:v>
      </x:c>
      <x:c r="R1" s="6" t="str">
        <x:v>source_file</x:v>
      </x:c>
    </x:row>
    <x:row r="2" ht="36" customHeight="1">
      <x:c r="A2" s="13" t="str">
        <x:v>KP-25-003-PSWT</x:v>
      </x:c>
      <x:c r="B2" s="13" t="str">
        <x:v>boundary/property</x:v>
      </x:c>
      <x:c r="C2" s="13" t="str">
        <x:v>Real PDF</x:v>
      </x:c>
      <x:c r="D2" s="13" t="str">
        <x:v>KP-25-003-PSWT</x:v>
      </x:c>
      <x:c r="E2" s="13" t="str">
        <x:v>Civil</x:v>
      </x:c>
      <x:c r="F2" s="13" t="str">
        <x:v>Paglilinaw sa inupahang lupa</x:v>
      </x:c>
      <x:c r="G2" s="13" t="str">
        <x:v>January 3, 2025</x:v>
      </x:c>
      <x:c r="H2" s="13" t="str">
        <x:v>-</x:v>
      </x:c>
      <x:c r="I2" s="13" t="str">
        <x:v>Walang paghaharap na nangyari at hindi dumating ang ipinagsumbong</x:v>
      </x:c>
      <x:c r="J2" s="13" t="str">
        <x:v>Endorsed</x:v>
      </x:c>
      <x:c r="K2" s="13" t="str">
        <x:v>KP_COVERED_AMICABLE</x:v>
      </x:c>
      <x:c r="L2" s="13" t="str">
        <x:v>Eligible for KP screening</x:v>
      </x:c>
      <x:c r="M2" s="13" t="str">
        <x:v>Proceed to barangay conciliation / mediation screening</x:v>
      </x:c>
      <x:c r="N2" s="13" t="str">
        <x:v>Local land/property/boundary or neighbor access dispute suitable for KP screening and conciliation.</x:v>
      </x:c>
      <x:c r="O2" s="13" t="str"/>
      <x:c r="P2" s="13" t="str">
        <x:v>Paglilinaw sa inupahang lupa</x:v>
      </x:c>
      <x:c r="Q2" s="13" t="str"/>
      <x:c r="R2" s="13" t="str">
        <x:v>KP CASE PSWT - Sheet1 - KP CASE PSWT - Sheet1.pdf</x:v>
      </x:c>
    </x:row>
    <x:row r="3" ht="36" customHeight="1">
      <x:c r="A3" s="13" t="str">
        <x:v>KP-25-008-PSWT</x:v>
      </x:c>
      <x:c r="B3" s="13" t="str">
        <x:v>boundary/property</x:v>
      </x:c>
      <x:c r="C3" s="13" t="str">
        <x:v>Real PDF</x:v>
      </x:c>
      <x:c r="D3" s="13" t="str">
        <x:v>KP-25-008-PSWT</x:v>
      </x:c>
      <x:c r="E3" s="13" t="str">
        <x:v>Civil</x:v>
      </x:c>
      <x:c r="F3" s="13" t="str">
        <x:v>Paglilinaw sa property</x:v>
      </x:c>
      <x:c r="G3" s="13" t="str">
        <x:v>January 6, 2025</x:v>
      </x:c>
      <x:c r="H3" s="13" t="str">
        <x:v>January 8, 2025</x:v>
      </x:c>
      <x:c r="I3" s="13" t="str">
        <x:v>Ipaparating ng manugang ng ipinagsumbong anf napag- usapan ng may sumbong</x:v>
      </x:c>
      <x:c r="J3" s="13" t="str">
        <x:v>Settled</x:v>
      </x:c>
      <x:c r="K3" s="13" t="str">
        <x:v>KP_COVERED_AMICABLE</x:v>
      </x:c>
      <x:c r="L3" s="13" t="str">
        <x:v>Eligible for KP screening</x:v>
      </x:c>
      <x:c r="M3" s="13" t="str">
        <x:v>Proceed to barangay conciliation / mediation screening</x:v>
      </x:c>
      <x:c r="N3" s="13" t="str">
        <x:v>Local land/property/boundary or neighbor access dispute suitable for KP screening and conciliation.</x:v>
      </x:c>
      <x:c r="O3" s="13" t="str"/>
      <x:c r="P3" s="13" t="str">
        <x:v>Paglilinaw sa property</x:v>
      </x:c>
      <x:c r="Q3" s="13" t="str"/>
      <x:c r="R3" s="13" t="str">
        <x:v>KP CASE PSWT - Sheet1 - KP CASE PSWT - Sheet1.pdf</x:v>
      </x:c>
    </x:row>
    <x:row r="4" ht="36" customHeight="1">
      <x:c r="A4" s="13" t="str">
        <x:v>KP-25-009-PSWT</x:v>
      </x:c>
      <x:c r="B4" s="13" t="str">
        <x:v>boundary/property</x:v>
      </x:c>
      <x:c r="C4" s="13" t="str">
        <x:v>Real PDF</x:v>
      </x:c>
      <x:c r="D4" s="13" t="str">
        <x:v>KP-25-009-PSWT</x:v>
      </x:c>
      <x:c r="E4" s="13" t="str">
        <x:v>Civil</x:v>
      </x:c>
      <x:c r="F4" s="13" t="str">
        <x:v>Paglilinaw sa biniling lupa</x:v>
      </x:c>
      <x:c r="G4" s="13" t="str">
        <x:v>January 8, 2025</x:v>
      </x:c>
      <x:c r="H4" s="13" t="str">
        <x:v>-</x:v>
      </x:c>
      <x:c r="I4" s="13" t="str">
        <x:v>Nagkaroon ng paghaharap subalit walang pagkakasundo sa dalawang panig</x:v>
      </x:c>
      <x:c r="J4" s="13" t="str">
        <x:v>Endorsed</x:v>
      </x:c>
      <x:c r="K4" s="13" t="str">
        <x:v>KP_COVERED_AMICABLE</x:v>
      </x:c>
      <x:c r="L4" s="13" t="str">
        <x:v>Eligible for KP screening</x:v>
      </x:c>
      <x:c r="M4" s="13" t="str">
        <x:v>Proceed to barangay conciliation / mediation screening</x:v>
      </x:c>
      <x:c r="N4" s="13" t="str">
        <x:v>Local land/property/boundary or neighbor access dispute suitable for KP screening and conciliation.</x:v>
      </x:c>
      <x:c r="O4" s="13" t="str"/>
      <x:c r="P4" s="13" t="str">
        <x:v>Paglilinaw sa biniling lupa</x:v>
      </x:c>
      <x:c r="Q4" s="13" t="str"/>
      <x:c r="R4" s="13" t="str">
        <x:v>KP CASE PSWT - Sheet1 - KP CASE PSWT - Sheet1.pdf</x:v>
      </x:c>
    </x:row>
    <x:row r="5" ht="36" customHeight="1">
      <x:c r="A5" s="13" t="str">
        <x:v>KP-25-020-PSWT</x:v>
      </x:c>
      <x:c r="B5" s="13" t="str">
        <x:v>boundary/property</x:v>
      </x:c>
      <x:c r="C5" s="13" t="str">
        <x:v>Real PDF</x:v>
      </x:c>
      <x:c r="D5" s="13" t="str">
        <x:v>KP-25-020-PSWT</x:v>
      </x:c>
      <x:c r="E5" s="13" t="str">
        <x:v>Civil</x:v>
      </x:c>
      <x:c r="F5" s="13" t="str">
        <x:v>Lupang pinasukat</x:v>
      </x:c>
      <x:c r="G5" s="13" t="str">
        <x:v>February 23, 2025</x:v>
      </x:c>
      <x:c r="H5" s="13" t="str">
        <x:v>-</x:v>
      </x:c>
      <x:c r="I5" s="13" t="str">
        <x:v>Hindi dumadating ang ipinagsumbong sa oras ng hearing.</x:v>
      </x:c>
      <x:c r="J5" s="13" t="str">
        <x:v>Endorsed</x:v>
      </x:c>
      <x:c r="K5" s="13" t="str">
        <x:v>KP_COVERED_AMICABLE</x:v>
      </x:c>
      <x:c r="L5" s="13" t="str">
        <x:v>Eligible for KP screening</x:v>
      </x:c>
      <x:c r="M5" s="13" t="str">
        <x:v>Proceed to barangay conciliation / mediation screening</x:v>
      </x:c>
      <x:c r="N5" s="13" t="str">
        <x:v>Local land/property/boundary or neighbor access dispute suitable for KP screening and conciliation.</x:v>
      </x:c>
      <x:c r="O5" s="13" t="str"/>
      <x:c r="P5" s="13" t="str">
        <x:v>Lupang pinasukat</x:v>
      </x:c>
      <x:c r="Q5" s="13" t="str"/>
      <x:c r="R5" s="13" t="str">
        <x:v>KP CASE PSWT - Sheet1 - KP CASE PSWT - Sheet1.pdf</x:v>
      </x:c>
    </x:row>
    <x:row r="6" ht="36" customHeight="1">
      <x:c r="A6" s="13" t="str">
        <x:v>KP-25-025-PSWT</x:v>
      </x:c>
      <x:c r="B6" s="13" t="str">
        <x:v>boundary/property</x:v>
      </x:c>
      <x:c r="C6" s="13" t="str">
        <x:v>Real PDF</x:v>
      </x:c>
      <x:c r="D6" s="13" t="str">
        <x:v>KP-25-025-PSWT</x:v>
      </x:c>
      <x:c r="E6" s="13" t="str">
        <x:v>Civil</x:v>
      </x:c>
      <x:c r="F6" s="13" t="str">
        <x:v>Hindi pagsunod sa pagpapatitulo ng lupa</x:v>
      </x:c>
      <x:c r="G6" s="13" t="str">
        <x:v>February 23, 2025</x:v>
      </x:c>
      <x:c r="H6" s="13" t="str">
        <x:v>-</x:v>
      </x:c>
      <x:c r="I6" s="13" t="str">
        <x:v>Hindi dumadating ang ipinagsumbong sa oras ng hearing.</x:v>
      </x:c>
      <x:c r="J6" s="13" t="str">
        <x:v>Endorsed</x:v>
      </x:c>
      <x:c r="K6" s="13" t="str">
        <x:v>KP_COVERED_AMICABLE</x:v>
      </x:c>
      <x:c r="L6" s="13" t="str">
        <x:v>Eligible for KP screening</x:v>
      </x:c>
      <x:c r="M6" s="13" t="str">
        <x:v>Proceed to barangay conciliation / mediation screening</x:v>
      </x:c>
      <x:c r="N6" s="13" t="str">
        <x:v>Local land/property/boundary or neighbor access dispute suitable for KP screening and conciliation.</x:v>
      </x:c>
      <x:c r="O6" s="13" t="str"/>
      <x:c r="P6" s="13" t="str">
        <x:v>Hindi pagsunod sa pagpapatitulo ng lupa</x:v>
      </x:c>
      <x:c r="Q6" s="13" t="str"/>
      <x:c r="R6" s="13" t="str">
        <x:v>KP CASE PSWT - Sheet1 - KP CASE PSWT - Sheet1.pdf</x:v>
      </x:c>
    </x:row>
    <x:row r="7" ht="36" customHeight="1">
      <x:c r="A7" s="13" t="str">
        <x:v>KP-25-028-PSWT</x:v>
      </x:c>
      <x:c r="B7" s="13" t="str">
        <x:v>boundary/property</x:v>
      </x:c>
      <x:c r="C7" s="13" t="str">
        <x:v>Real PDF</x:v>
      </x:c>
      <x:c r="D7" s="13" t="str">
        <x:v>KP-25-028-PSWT</x:v>
      </x:c>
      <x:c r="E7" s="13" t="str">
        <x:v>Civil</x:v>
      </x:c>
      <x:c r="F7" s="13" t="str">
        <x:v>Pagpapa-alis sa mga nangungupahan</x:v>
      </x:c>
      <x:c r="G7" s="13" t="str">
        <x:v>March 18, 2025</x:v>
      </x:c>
      <x:c r="H7" s="13" t="str">
        <x:v>April 28, 2025</x:v>
      </x:c>
      <x:c r="I7" s="13" t="str">
        <x:v>Nagkaroon ng pagkakasundo at binibigyan ng palugit hanggang April 12 at sila ay kusang aalis sa kanilang inuupahan.</x:v>
      </x:c>
      <x:c r="J7" s="13" t="str">
        <x:v>Settled</x:v>
      </x:c>
      <x:c r="K7" s="13" t="str">
        <x:v>KP_COVERED_AMICABLE</x:v>
      </x:c>
      <x:c r="L7" s="13" t="str">
        <x:v>Eligible for KP screening</x:v>
      </x:c>
      <x:c r="M7" s="13" t="str">
        <x:v>Proceed to barangay conciliation / mediation screening</x:v>
      </x:c>
      <x:c r="N7" s="13" t="str">
        <x:v>Local land/property/boundary or neighbor access dispute suitable for KP screening and conciliation.</x:v>
      </x:c>
      <x:c r="O7" s="13" t="str"/>
      <x:c r="P7" s="13" t="str">
        <x:v>Pagpapa-alis sa mga nangungupahan</x:v>
      </x:c>
      <x:c r="Q7" s="13" t="str"/>
      <x:c r="R7" s="13" t="str">
        <x:v>KP CASE PSWT - Sheet1 - KP CASE PSWT - Sheet1.pdf</x:v>
      </x:c>
    </x:row>
    <x:row r="8" ht="36" customHeight="1">
      <x:c r="A8" s="13" t="str">
        <x:v>KP-25-031-PSWT</x:v>
      </x:c>
      <x:c r="B8" s="13" t="str">
        <x:v>boundary/property</x:v>
      </x:c>
      <x:c r="C8" s="13" t="str">
        <x:v>Real PDF</x:v>
      </x:c>
      <x:c r="D8" s="13" t="str">
        <x:v>KP-25-031-PSWT</x:v>
      </x:c>
      <x:c r="E8" s="13" t="str">
        <x:v>Civil</x:v>
      </x:c>
      <x:c r="F8" s="13" t="str">
        <x:v>Paglilinaw sa property</x:v>
      </x:c>
      <x:c r="G8" s="13" t="str">
        <x:v>March 24, 2025</x:v>
      </x:c>
      <x:c r="H8" s="13" t="str">
        <x:v>April 4, 2025</x:v>
      </x:c>
      <x:c r="I8" s="13" t="str">
        <x:v>Nagkaroon ng malinaw sa bawat isa na ang property na gustong linawin ng maysumbong ay wala pang malinaw kung sino talaga ang nagmamay-ari. Ang usapin ay tinatapos na sa araw na ito.</x:v>
      </x:c>
      <x:c r="J8" s="13" t="str">
        <x:v>Settled</x:v>
      </x:c>
      <x:c r="K8" s="13" t="str">
        <x:v>KP_COVERED_AMICABLE</x:v>
      </x:c>
      <x:c r="L8" s="13" t="str">
        <x:v>Eligible for KP screening</x:v>
      </x:c>
      <x:c r="M8" s="13" t="str">
        <x:v>Proceed to barangay conciliation / mediation screening</x:v>
      </x:c>
      <x:c r="N8" s="13" t="str">
        <x:v>Local land/property/boundary or neighbor access dispute suitable for KP screening and conciliation.</x:v>
      </x:c>
      <x:c r="O8" s="13" t="str"/>
      <x:c r="P8" s="13" t="str">
        <x:v>Paglilinaw sa property</x:v>
      </x:c>
      <x:c r="Q8" s="13" t="str"/>
      <x:c r="R8" s="13" t="str">
        <x:v>KP CASE PSWT - Sheet1 - KP CASE PSWT - Sheet1.pdf</x:v>
      </x:c>
    </x:row>
    <x:row r="9" ht="36" customHeight="1">
      <x:c r="A9" s="13" t="str">
        <x:v>KP-25-046-PSWT</x:v>
      </x:c>
      <x:c r="B9" s="13" t="str">
        <x:v>boundary/property</x:v>
      </x:c>
      <x:c r="C9" s="13" t="str">
        <x:v>Real PDF</x:v>
      </x:c>
      <x:c r="D9" s="13" t="str">
        <x:v>KP-25-046-PSWT</x:v>
      </x:c>
      <x:c r="E9" s="13" t="str">
        <x:v>Civil</x:v>
      </x:c>
      <x:c r="F9" s="13" t="str">
        <x:v>Paglilinaw sa daan</x:v>
      </x:c>
      <x:c r="G9" s="13" t="str">
        <x:v>May 26, 2025</x:v>
      </x:c>
      <x:c r="H9" s="13" t="str">
        <x:v>May 30, 2025</x:v>
      </x:c>
      <x:c r="I9" s="13" t="str">
        <x:v>Nagkaroon ng pagkakasundo, humingi ng pasensya ang ipinagsumbong sa maysumbong at nangako na isasara na niya ang gate.</x:v>
      </x:c>
      <x:c r="J9" s="13" t="str">
        <x:v>Settled</x:v>
      </x:c>
      <x:c r="K9" s="13" t="str">
        <x:v>KP_COVERED_AMICABLE</x:v>
      </x:c>
      <x:c r="L9" s="13" t="str">
        <x:v>Eligible for KP screening</x:v>
      </x:c>
      <x:c r="M9" s="13" t="str">
        <x:v>Proceed to barangay conciliation / mediation screening</x:v>
      </x:c>
      <x:c r="N9" s="13" t="str">
        <x:v>Local land/property/boundary or neighbor access dispute suitable for KP screening and conciliation.</x:v>
      </x:c>
      <x:c r="O9" s="13" t="str"/>
      <x:c r="P9" s="13" t="str">
        <x:v>Paglilinaw sa daan</x:v>
      </x:c>
      <x:c r="Q9" s="13" t="str"/>
      <x:c r="R9" s="13" t="str">
        <x:v>KP CASE PSWT - Sheet1 - KP CASE PSWT - Sheet1.pdf</x:v>
      </x:c>
    </x:row>
    <x:row r="10" ht="36" customHeight="1">
      <x:c r="A10" s="13" t="str">
        <x:v>KP-25-055-PSWT</x:v>
      </x:c>
      <x:c r="B10" s="13" t="str">
        <x:v>boundary/property</x:v>
      </x:c>
      <x:c r="C10" s="13" t="str">
        <x:v>Real PDF</x:v>
      </x:c>
      <x:c r="D10" s="13" t="str">
        <x:v>KP-25-055-PSWT</x:v>
      </x:c>
      <x:c r="E10" s="13" t="str">
        <x:v>Civil</x:v>
      </x:c>
      <x:c r="F10" s="13" t="str">
        <x:v>Paglilinaw sa edging at high speed machine</x:v>
      </x:c>
      <x:c r="G10" s="13" t="str">
        <x:v>June 16, 2025</x:v>
      </x:c>
      <x:c r="H10" s="13" t="str">
        <x:v>-</x:v>
      </x:c>
      <x:c r="I10" s="13" t="str">
        <x:v>Hindi bumalik ang maysumbong sa pangatlong paghaharap.</x:v>
      </x:c>
      <x:c r="J10" s="13" t="str">
        <x:v>Dismiss</x:v>
      </x:c>
      <x:c r="K10" s="13" t="str">
        <x:v>KP_COVERED_AMICABLE</x:v>
      </x:c>
      <x:c r="L10" s="13" t="str">
        <x:v>Eligible for KP screening</x:v>
      </x:c>
      <x:c r="M10" s="13" t="str">
        <x:v>Proceed to barangay conciliation / mediation screening</x:v>
      </x:c>
      <x:c r="N10" s="13" t="str">
        <x:v>Local land/property/boundary or neighbor access dispute suitable for KP screening and conciliation.</x:v>
      </x:c>
      <x:c r="O10" s="13" t="str"/>
      <x:c r="P10" s="13" t="str">
        <x:v>Paglilinaw sa edging at high speed machine</x:v>
      </x:c>
      <x:c r="Q10" s="13" t="str"/>
      <x:c r="R10" s="13" t="str">
        <x:v>KP CASE PSWT - Sheet1 - KP CASE PSWT - Sheet1.pdf</x:v>
      </x:c>
    </x:row>
    <x:row r="11" ht="36" customHeight="1">
      <x:c r="A11" s="13" t="str">
        <x:v>KP-25-056-PSWT</x:v>
      </x:c>
      <x:c r="B11" s="13" t="str">
        <x:v>boundary/property</x:v>
      </x:c>
      <x:c r="C11" s="13" t="str">
        <x:v>Real PDF</x:v>
      </x:c>
      <x:c r="D11" s="13" t="str">
        <x:v>KP-25-056-PSWT</x:v>
      </x:c>
      <x:c r="E11" s="13" t="str">
        <x:v>Civil</x:v>
      </x:c>
      <x:c r="F11" s="13" t="str">
        <x:v>Paglilinaw sa lupa</x:v>
      </x:c>
      <x:c r="G11" s="13" t="str">
        <x:v>June 20, 2025</x:v>
      </x:c>
      <x:c r="H11" s="13" t="str">
        <x:v>-</x:v>
      </x:c>
      <x:c r="I11" s="13" t="str">
        <x:v>Walang pagkakasundo sa dalawang panig kaya't ang maysumbong ay may karapatan ng maghain ng kaukulang reklamo sa kinauukulang tanggapan.</x:v>
      </x:c>
      <x:c r="J11" s="13" t="str">
        <x:v>Endorsed</x:v>
      </x:c>
      <x:c r="K11" s="13" t="str">
        <x:v>KP_COVERED_AMICABLE</x:v>
      </x:c>
      <x:c r="L11" s="13" t="str">
        <x:v>Eligible for KP screening</x:v>
      </x:c>
      <x:c r="M11" s="13" t="str">
        <x:v>Proceed to barangay conciliation / mediation screening</x:v>
      </x:c>
      <x:c r="N11" s="13" t="str">
        <x:v>Local land/property/boundary or neighbor access dispute suitable for KP screening and conciliation.</x:v>
      </x:c>
      <x:c r="O11" s="13" t="str"/>
      <x:c r="P11" s="13" t="str">
        <x:v>Paglilinaw sa lupa</x:v>
      </x:c>
      <x:c r="Q11" s="13" t="str"/>
      <x:c r="R11" s="13" t="str">
        <x:v>KP CASE PSWT - Sheet1 - KP CASE PSWT - Sheet1.pdf</x:v>
      </x:c>
    </x:row>
    <x:row r="12" ht="36" customHeight="1">
      <x:c r="A12" s="13" t="str">
        <x:v>KP-25-076-PSWT</x:v>
      </x:c>
      <x:c r="B12" s="13" t="str">
        <x:v>boundary/property</x:v>
      </x:c>
      <x:c r="C12" s="13" t="str">
        <x:v>Real PDF</x:v>
      </x:c>
      <x:c r="D12" s="13" t="str">
        <x:v>KP-25-076-PSWT</x:v>
      </x:c>
      <x:c r="E12" s="13" t="str">
        <x:v>Civil</x:v>
      </x:c>
      <x:c r="F12" s="13" t="str">
        <x:v>Paglilinaw sa pinutol na puno at tapon ng tubig</x:v>
      </x:c>
      <x:c r="G12" s="13" t="str">
        <x:v>August 18, 2025</x:v>
      </x:c>
      <x:c r="H12" s="13" t="str">
        <x:v>September 4, 2025</x:v>
      </x:c>
      <x:c r="I12" s="13" t="str">
        <x:v>Nagkaroon ng pagkakasundo na sila ay magpapalinis ng mga puno na nakatakip sa bahay ng maysumbong at sasabayaan ng pag-aayos ng tuluan ng tubig na nasa bakuran ng maysumbong.</x:v>
      </x:c>
      <x:c r="J12" s="13" t="str">
        <x:v>Settled</x:v>
      </x:c>
      <x:c r="K12" s="13" t="str">
        <x:v>KP_COVERED_AMICABLE</x:v>
      </x:c>
      <x:c r="L12" s="13" t="str">
        <x:v>Eligible for KP screening</x:v>
      </x:c>
      <x:c r="M12" s="13" t="str">
        <x:v>Proceed to barangay conciliation / mediation screening</x:v>
      </x:c>
      <x:c r="N12" s="13" t="str">
        <x:v>Local land/property/boundary or neighbor access dispute suitable for KP screening and conciliation.</x:v>
      </x:c>
      <x:c r="O12" s="13" t="str"/>
      <x:c r="P12" s="13" t="str">
        <x:v>Paglilinaw sa pinutol na puno at tapon ng tubig</x:v>
      </x:c>
      <x:c r="Q12" s="13" t="str"/>
      <x:c r="R12" s="13" t="str">
        <x:v>KP CASE PSWT - Sheet1 - KP CASE PSWT - Sheet1.pdf</x:v>
      </x:c>
    </x:row>
    <x:row r="13" ht="36" customHeight="1">
      <x:c r="A13" s="13" t="str">
        <x:v>SYN-PROP-001</x:v>
      </x:c>
      <x:c r="B13" s="13" t="str">
        <x:v>boundary/property</x:v>
      </x:c>
      <x:c r="C13" s="13" t="str">
        <x:v>Synthetic</x:v>
      </x:c>
      <x:c r="D13" s="13" t="str"/>
      <x:c r="E13" s="13" t="str">
        <x:v>Civil</x:v>
      </x:c>
      <x:c r="F13" s="13" t="str">
        <x:v>Paglilinaw sa bakod na lumampas sa hangganan ng lote</x:v>
      </x:c>
      <x:c r="G13" s="13" t="str">
        <x:v>January 4, 2026</x:v>
      </x:c>
      <x:c r="H13" s="13" t="str">
        <x:v>-</x:v>
      </x:c>
      <x:c r="I13" s="13" t="str">
        <x:v>Synthetic example: parties are neighbors/residents; no prior court filing stated; for barangay mediation eligibility screening.</x:v>
      </x:c>
      <x:c r="J13" s="13" t="str">
        <x:v>For Mediation</x:v>
      </x:c>
      <x:c r="K13" s="13" t="str">
        <x:v>KP_COVERED_AMICABLE</x:v>
      </x:c>
      <x:c r="L13" s="13" t="str">
        <x:v>Eligible for KP screening</x:v>
      </x:c>
      <x:c r="M13" s="13" t="str">
        <x:v>Proceed to barangay conciliation / mediation screening</x:v>
      </x:c>
      <x:c r="N13" s="13" t="str">
        <x:v>Local property, boundary, access, or neighbor-use dispute.</x:v>
      </x:c>
      <x:c r="O13" s="13" t="str"/>
      <x:c r="P13" s="13" t="str">
        <x:v>Paglilinaw sa bakod na lumampas sa hangganan ng lote</x:v>
      </x:c>
      <x:c r="Q13" s="13" t="str">
        <x:v>Added to balance 'boundary/property' to 49 examples using the same Justice KP label schema.</x:v>
      </x:c>
      <x:c r="R13" s="13" t="str">
        <x:v>Synthetic row based on category coverage gap from uploaded PDF</x:v>
      </x:c>
    </x:row>
    <x:row r="14" ht="36" customHeight="1">
      <x:c r="A14" s="13" t="str">
        <x:v>SYN-PROP-002</x:v>
      </x:c>
      <x:c r="B14" s="13" t="str">
        <x:v>boundary/property</x:v>
      </x:c>
      <x:c r="C14" s="13" t="str">
        <x:v>Synthetic</x:v>
      </x:c>
      <x:c r="D14" s="13" t="str"/>
      <x:c r="E14" s="13" t="str">
        <x:v>Civil</x:v>
      </x:c>
      <x:c r="F14" s="13" t="str">
        <x:v>Alitan sa daanan papunta sa likod ng bahay</x:v>
      </x:c>
      <x:c r="G14" s="13" t="str">
        <x:v>January 7, 2026</x:v>
      </x:c>
      <x:c r="H14" s="13" t="str">
        <x:v>-</x:v>
      </x:c>
      <x:c r="I14" s="13" t="str">
        <x:v>Synthetic example: parties are neighbors/residents; no prior court filing stated; for barangay mediation eligibility screening.</x:v>
      </x:c>
      <x:c r="J14" s="13" t="str">
        <x:v>For Mediation</x:v>
      </x:c>
      <x:c r="K14" s="13" t="str">
        <x:v>KP_COVERED_AMICABLE</x:v>
      </x:c>
      <x:c r="L14" s="13" t="str">
        <x:v>Eligible for KP screening</x:v>
      </x:c>
      <x:c r="M14" s="13" t="str">
        <x:v>Proceed to barangay conciliation / mediation screening</x:v>
      </x:c>
      <x:c r="N14" s="13" t="str">
        <x:v>Local property, boundary, access, or neighbor-use dispute.</x:v>
      </x:c>
      <x:c r="O14" s="13" t="str"/>
      <x:c r="P14" s="13" t="str">
        <x:v>Alitan sa daanan papunta sa likod ng bahay</x:v>
      </x:c>
      <x:c r="Q14" s="13" t="str">
        <x:v>Added to balance 'boundary/property' to 49 examples using the same Justice KP label schema.</x:v>
      </x:c>
      <x:c r="R14" s="13" t="str">
        <x:v>Synthetic row based on category coverage gap from uploaded PDF</x:v>
      </x:c>
    </x:row>
    <x:row r="15" ht="36" customHeight="1">
      <x:c r="A15" s="13" t="str">
        <x:v>SYN-PROP-003</x:v>
      </x:c>
      <x:c r="B15" s="13" t="str">
        <x:v>boundary/property</x:v>
      </x:c>
      <x:c r="C15" s="13" t="str">
        <x:v>Synthetic</x:v>
      </x:c>
      <x:c r="D15" s="13" t="str"/>
      <x:c r="E15" s="13" t="str">
        <x:v>Civil</x:v>
      </x:c>
      <x:c r="F15" s="13" t="str">
        <x:v>Paglilinaw sa puno na nakapasok sa bakuran ng kapitbahay</x:v>
      </x:c>
      <x:c r="G15" s="13" t="str">
        <x:v>January 10, 2026</x:v>
      </x:c>
      <x:c r="H15" s="13" t="str">
        <x:v>-</x:v>
      </x:c>
      <x:c r="I15" s="13" t="str">
        <x:v>Synthetic example: parties are neighbors/residents; no prior court filing stated; for barangay mediation eligibility screening.</x:v>
      </x:c>
      <x:c r="J15" s="13" t="str">
        <x:v>For Mediation</x:v>
      </x:c>
      <x:c r="K15" s="13" t="str">
        <x:v>KP_COVERED_AMICABLE</x:v>
      </x:c>
      <x:c r="L15" s="13" t="str">
        <x:v>Eligible for KP screening</x:v>
      </x:c>
      <x:c r="M15" s="13" t="str">
        <x:v>Proceed to barangay conciliation / mediation screening</x:v>
      </x:c>
      <x:c r="N15" s="13" t="str">
        <x:v>Local property, boundary, access, or neighbor-use dispute.</x:v>
      </x:c>
      <x:c r="O15" s="13" t="str"/>
      <x:c r="P15" s="13" t="str">
        <x:v>Paglilinaw sa puno na nakapasok sa bakuran ng kapitbahay</x:v>
      </x:c>
      <x:c r="Q15" s="13" t="str">
        <x:v>Added to balance 'boundary/property' to 49 examples using the same Justice KP label schema.</x:v>
      </x:c>
      <x:c r="R15" s="13" t="str">
        <x:v>Synthetic row based on category coverage gap from uploaded PDF</x:v>
      </x:c>
    </x:row>
    <x:row r="16" ht="36" customHeight="1">
      <x:c r="A16" s="13" t="str">
        <x:v>SYN-PROP-004</x:v>
      </x:c>
      <x:c r="B16" s="13" t="str">
        <x:v>boundary/property</x:v>
      </x:c>
      <x:c r="C16" s="13" t="str">
        <x:v>Synthetic</x:v>
      </x:c>
      <x:c r="D16" s="13" t="str"/>
      <x:c r="E16" s="13" t="str">
        <x:v>Civil</x:v>
      </x:c>
      <x:c r="F16" s="13" t="str">
        <x:v>Hindi pagkakasundo sa linya ng kanal sa pagitan ng dalawang bahay</x:v>
      </x:c>
      <x:c r="G16" s="13" t="str">
        <x:v>January 13, 2026</x:v>
      </x:c>
      <x:c r="H16" s="13" t="str">
        <x:v>-</x:v>
      </x:c>
      <x:c r="I16" s="13" t="str">
        <x:v>Synthetic example: parties are neighbors/residents; no prior court filing stated; for barangay mediation eligibility screening.</x:v>
      </x:c>
      <x:c r="J16" s="13" t="str">
        <x:v>For Mediation</x:v>
      </x:c>
      <x:c r="K16" s="13" t="str">
        <x:v>KP_COVERED_AMICABLE</x:v>
      </x:c>
      <x:c r="L16" s="13" t="str">
        <x:v>Eligible for KP screening</x:v>
      </x:c>
      <x:c r="M16" s="13" t="str">
        <x:v>Proceed to barangay conciliation / mediation screening</x:v>
      </x:c>
      <x:c r="N16" s="13" t="str">
        <x:v>Local property, boundary, access, or neighbor-use dispute.</x:v>
      </x:c>
      <x:c r="O16" s="13" t="str"/>
      <x:c r="P16" s="13" t="str">
        <x:v>Hindi pagkakasundo sa linya ng kanal sa pagitan ng dalawang bahay</x:v>
      </x:c>
      <x:c r="Q16" s="13" t="str">
        <x:v>Added to balance 'boundary/property' to 49 examples using the same Justice KP label schema.</x:v>
      </x:c>
      <x:c r="R16" s="13" t="str">
        <x:v>Synthetic row based on category coverage gap from uploaded PDF</x:v>
      </x:c>
    </x:row>
    <x:row r="17" ht="36" customHeight="1">
      <x:c r="A17" s="13" t="str">
        <x:v>SYN-PROP-005</x:v>
      </x:c>
      <x:c r="B17" s="13" t="str">
        <x:v>boundary/property</x:v>
      </x:c>
      <x:c r="C17" s="13" t="str">
        <x:v>Synthetic</x:v>
      </x:c>
      <x:c r="D17" s="13" t="str"/>
      <x:c r="E17" s="13" t="str">
        <x:v>Civil</x:v>
      </x:c>
      <x:c r="F17" s="13" t="str">
        <x:v>Pag-aaway tungkol sa lupaing minana ng magkapatid</x:v>
      </x:c>
      <x:c r="G17" s="13" t="str">
        <x:v>January 16, 2026</x:v>
      </x:c>
      <x:c r="H17" s="13" t="str">
        <x:v>-</x:v>
      </x:c>
      <x:c r="I17" s="13" t="str">
        <x:v>Synthetic example: parties are neighbors/residents; no prior court filing stated; for barangay mediation eligibility screening.</x:v>
      </x:c>
      <x:c r="J17" s="13" t="str">
        <x:v>For Mediation</x:v>
      </x:c>
      <x:c r="K17" s="13" t="str">
        <x:v>KP_COVERED_AMICABLE</x:v>
      </x:c>
      <x:c r="L17" s="13" t="str">
        <x:v>Eligible for KP screening</x:v>
      </x:c>
      <x:c r="M17" s="13" t="str">
        <x:v>Proceed to barangay conciliation / mediation screening</x:v>
      </x:c>
      <x:c r="N17" s="13" t="str">
        <x:v>Local property, boundary, access, or neighbor-use dispute.</x:v>
      </x:c>
      <x:c r="O17" s="13" t="str"/>
      <x:c r="P17" s="13" t="str">
        <x:v>Pag-aaway tungkol sa lupaing minana ng magkapatid</x:v>
      </x:c>
      <x:c r="Q17" s="13" t="str">
        <x:v>Added to balance 'boundary/property' to 49 examples using the same Justice KP label schema.</x:v>
      </x:c>
      <x:c r="R17" s="13" t="str">
        <x:v>Synthetic row based on category coverage gap from uploaded PDF</x:v>
      </x:c>
    </x:row>
    <x:row r="18" ht="36" customHeight="1">
      <x:c r="A18" s="13" t="str">
        <x:v>SYN-PROP-006</x:v>
      </x:c>
      <x:c r="B18" s="13" t="str">
        <x:v>boundary/property</x:v>
      </x:c>
      <x:c r="C18" s="13" t="str">
        <x:v>Synthetic</x:v>
      </x:c>
      <x:c r="D18" s="13" t="str"/>
      <x:c r="E18" s="13" t="str">
        <x:v>Civil</x:v>
      </x:c>
      <x:c r="F18" s="13" t="str">
        <x:v>Paglilinaw sa sukat ng lote matapos magpagawa ng bakod</x:v>
      </x:c>
      <x:c r="G18" s="13" t="str">
        <x:v>January 19, 2026</x:v>
      </x:c>
      <x:c r="H18" s="13" t="str">
        <x:v>-</x:v>
      </x:c>
      <x:c r="I18" s="13" t="str">
        <x:v>Synthetic example: parties are neighbors/residents; no prior court filing stated; for barangay mediation eligibility screening.</x:v>
      </x:c>
      <x:c r="J18" s="13" t="str">
        <x:v>For Mediation</x:v>
      </x:c>
      <x:c r="K18" s="13" t="str">
        <x:v>KP_COVERED_AMICABLE</x:v>
      </x:c>
      <x:c r="L18" s="13" t="str">
        <x:v>Eligible for KP screening</x:v>
      </x:c>
      <x:c r="M18" s="13" t="str">
        <x:v>Proceed to barangay conciliation / mediation screening</x:v>
      </x:c>
      <x:c r="N18" s="13" t="str">
        <x:v>Local property, boundary, access, or neighbor-use dispute.</x:v>
      </x:c>
      <x:c r="O18" s="13" t="str"/>
      <x:c r="P18" s="13" t="str">
        <x:v>Paglilinaw sa sukat ng lote matapos magpagawa ng bakod</x:v>
      </x:c>
      <x:c r="Q18" s="13" t="str">
        <x:v>Added to balance 'boundary/property' to 49 examples using the same Justice KP label schema.</x:v>
      </x:c>
      <x:c r="R18" s="13" t="str">
        <x:v>Synthetic row based on category coverage gap from uploaded PDF</x:v>
      </x:c>
    </x:row>
    <x:row r="19" ht="36" customHeight="1">
      <x:c r="A19" s="13" t="str">
        <x:v>SYN-PROP-007</x:v>
      </x:c>
      <x:c r="B19" s="13" t="str">
        <x:v>boundary/property</x:v>
      </x:c>
      <x:c r="C19" s="13" t="str">
        <x:v>Synthetic</x:v>
      </x:c>
      <x:c r="D19" s="13" t="str"/>
      <x:c r="E19" s="13" t="str">
        <x:v>Civil</x:v>
      </x:c>
      <x:c r="F19" s="13" t="str">
        <x:v>Pagharang sa dating daanan ng pamilya papunta sa kalsada</x:v>
      </x:c>
      <x:c r="G19" s="13" t="str">
        <x:v>January 22, 2026</x:v>
      </x:c>
      <x:c r="H19" s="13" t="str">
        <x:v>-</x:v>
      </x:c>
      <x:c r="I19" s="13" t="str">
        <x:v>Synthetic example: parties are neighbors/residents; no prior court filing stated; for barangay mediation eligibility screening.</x:v>
      </x:c>
      <x:c r="J19" s="13" t="str">
        <x:v>For Mediation</x:v>
      </x:c>
      <x:c r="K19" s="13" t="str">
        <x:v>KP_COVERED_AMICABLE</x:v>
      </x:c>
      <x:c r="L19" s="13" t="str">
        <x:v>Eligible for KP screening</x:v>
      </x:c>
      <x:c r="M19" s="13" t="str">
        <x:v>Proceed to barangay conciliation / mediation screening</x:v>
      </x:c>
      <x:c r="N19" s="13" t="str">
        <x:v>Local property, boundary, access, or neighbor-use dispute.</x:v>
      </x:c>
      <x:c r="O19" s="13" t="str"/>
      <x:c r="P19" s="13" t="str">
        <x:v>Pagharang sa dating daanan ng pamilya papunta sa kalsada</x:v>
      </x:c>
      <x:c r="Q19" s="13" t="str">
        <x:v>Added to balance 'boundary/property' to 49 examples using the same Justice KP label schema.</x:v>
      </x:c>
      <x:c r="R19" s="13" t="str">
        <x:v>Synthetic row based on category coverage gap from uploaded PDF</x:v>
      </x:c>
    </x:row>
    <x:row r="20" ht="36" customHeight="1">
      <x:c r="A20" s="13" t="str">
        <x:v>SYN-PROP-008</x:v>
      </x:c>
      <x:c r="B20" s="13" t="str">
        <x:v>boundary/property</x:v>
      </x:c>
      <x:c r="C20" s="13" t="str">
        <x:v>Synthetic</x:v>
      </x:c>
      <x:c r="D20" s="13" t="str"/>
      <x:c r="E20" s="13" t="str">
        <x:v>Civil</x:v>
      </x:c>
      <x:c r="F20" s="13" t="str">
        <x:v>Reklamo sa pag-agos ng tubig mula sa bakuran ng kapitbahay</x:v>
      </x:c>
      <x:c r="G20" s="13" t="str">
        <x:v>January 25, 2026</x:v>
      </x:c>
      <x:c r="H20" s="13" t="str">
        <x:v>-</x:v>
      </x:c>
      <x:c r="I20" s="13" t="str">
        <x:v>Synthetic example: parties are neighbors/residents; no prior court filing stated; for barangay mediation eligibility screening.</x:v>
      </x:c>
      <x:c r="J20" s="13" t="str">
        <x:v>For Mediation</x:v>
      </x:c>
      <x:c r="K20" s="13" t="str">
        <x:v>KP_COVERED_AMICABLE</x:v>
      </x:c>
      <x:c r="L20" s="13" t="str">
        <x:v>Eligible for KP screening</x:v>
      </x:c>
      <x:c r="M20" s="13" t="str">
        <x:v>Proceed to barangay conciliation / mediation screening</x:v>
      </x:c>
      <x:c r="N20" s="13" t="str">
        <x:v>Local property, boundary, access, or neighbor-use dispute.</x:v>
      </x:c>
      <x:c r="O20" s="13" t="str"/>
      <x:c r="P20" s="13" t="str">
        <x:v>Reklamo sa pag-agos ng tubig mula sa bakuran ng kapitbahay</x:v>
      </x:c>
      <x:c r="Q20" s="13" t="str">
        <x:v>Added to balance 'boundary/property' to 49 examples using the same Justice KP label schema.</x:v>
      </x:c>
      <x:c r="R20" s="13" t="str">
        <x:v>Synthetic row based on category coverage gap from uploaded PDF</x:v>
      </x:c>
    </x:row>
    <x:row r="21" ht="36" customHeight="1">
      <x:c r="A21" s="13" t="str">
        <x:v>SYN-PROP-009</x:v>
      </x:c>
      <x:c r="B21" s="13" t="str">
        <x:v>boundary/property</x:v>
      </x:c>
      <x:c r="C21" s="13" t="str">
        <x:v>Synthetic</x:v>
      </x:c>
      <x:c r="D21" s="13" t="str"/>
      <x:c r="E21" s="13" t="str">
        <x:v>Civil</x:v>
      </x:c>
      <x:c r="F21" s="13" t="str">
        <x:v>Paglilinaw sa shared wall ng magkadikit na bahay</x:v>
      </x:c>
      <x:c r="G21" s="13" t="str">
        <x:v>January 28, 2026</x:v>
      </x:c>
      <x:c r="H21" s="13" t="str">
        <x:v>-</x:v>
      </x:c>
      <x:c r="I21" s="13" t="str">
        <x:v>Synthetic example: parties are neighbors/residents; no prior court filing stated; for barangay mediation eligibility screening.</x:v>
      </x:c>
      <x:c r="J21" s="13" t="str">
        <x:v>For Mediation</x:v>
      </x:c>
      <x:c r="K21" s="13" t="str">
        <x:v>KP_COVERED_AMICABLE</x:v>
      </x:c>
      <x:c r="L21" s="13" t="str">
        <x:v>Eligible for KP screening</x:v>
      </x:c>
      <x:c r="M21" s="13" t="str">
        <x:v>Proceed to barangay conciliation / mediation screening</x:v>
      </x:c>
      <x:c r="N21" s="13" t="str">
        <x:v>Local property, boundary, access, or neighbor-use dispute.</x:v>
      </x:c>
      <x:c r="O21" s="13" t="str"/>
      <x:c r="P21" s="13" t="str">
        <x:v>Paglilinaw sa shared wall ng magkadikit na bahay</x:v>
      </x:c>
      <x:c r="Q21" s="13" t="str">
        <x:v>Added to balance 'boundary/property' to 49 examples using the same Justice KP label schema.</x:v>
      </x:c>
      <x:c r="R21" s="13" t="str">
        <x:v>Synthetic row based on category coverage gap from uploaded PDF</x:v>
      </x:c>
    </x:row>
    <x:row r="22" ht="36" customHeight="1">
      <x:c r="A22" s="13" t="str">
        <x:v>SYN-PROP-010</x:v>
      </x:c>
      <x:c r="B22" s="13" t="str">
        <x:v>boundary/property</x:v>
      </x:c>
      <x:c r="C22" s="13" t="str">
        <x:v>Synthetic</x:v>
      </x:c>
      <x:c r="D22" s="13" t="str"/>
      <x:c r="E22" s="13" t="str">
        <x:v>Civil</x:v>
      </x:c>
      <x:c r="F22" s="13" t="str">
        <x:v>Alitan sa paggamit ng bakanteng lote bilang parking</x:v>
      </x:c>
      <x:c r="G22" s="13" t="str">
        <x:v>January 31, 2026</x:v>
      </x:c>
      <x:c r="H22" s="13" t="str">
        <x:v>-</x:v>
      </x:c>
      <x:c r="I22" s="13" t="str">
        <x:v>Synthetic example: parties are neighbors/residents; no prior court filing stated; for barangay mediation eligibility screening.</x:v>
      </x:c>
      <x:c r="J22" s="13" t="str">
        <x:v>For Mediation</x:v>
      </x:c>
      <x:c r="K22" s="13" t="str">
        <x:v>KP_COVERED_AMICABLE</x:v>
      </x:c>
      <x:c r="L22" s="13" t="str">
        <x:v>Eligible for KP screening</x:v>
      </x:c>
      <x:c r="M22" s="13" t="str">
        <x:v>Proceed to barangay conciliation / mediation screening</x:v>
      </x:c>
      <x:c r="N22" s="13" t="str">
        <x:v>Local property, boundary, access, or neighbor-use dispute.</x:v>
      </x:c>
      <x:c r="O22" s="13" t="str"/>
      <x:c r="P22" s="13" t="str">
        <x:v>Alitan sa paggamit ng bakanteng lote bilang parking</x:v>
      </x:c>
      <x:c r="Q22" s="13" t="str">
        <x:v>Added to balance 'boundary/property' to 49 examples using the same Justice KP label schema.</x:v>
      </x:c>
      <x:c r="R22" s="13" t="str">
        <x:v>Synthetic row based on category coverage gap from uploaded PDF</x:v>
      </x:c>
    </x:row>
    <x:row r="23" ht="36" customHeight="1">
      <x:c r="A23" s="13" t="str">
        <x:v>SYN-PROP-011</x:v>
      </x:c>
      <x:c r="B23" s="13" t="str">
        <x:v>boundary/property</x:v>
      </x:c>
      <x:c r="C23" s="13" t="str">
        <x:v>Synthetic</x:v>
      </x:c>
      <x:c r="D23" s="13" t="str"/>
      <x:c r="E23" s="13" t="str">
        <x:v>Civil</x:v>
      </x:c>
      <x:c r="F23" s="13" t="str">
        <x:v>Paglilinaw sa bakod na lumampas sa hangganan ng lote</x:v>
      </x:c>
      <x:c r="G23" s="13" t="str">
        <x:v>February 3, 2026</x:v>
      </x:c>
      <x:c r="H23" s="13" t="str">
        <x:v>-</x:v>
      </x:c>
      <x:c r="I23" s="13" t="str">
        <x:v>Synthetic example: parties are neighbors/residents; no prior court filing stated; for barangay mediation eligibility screening.</x:v>
      </x:c>
      <x:c r="J23" s="13" t="str">
        <x:v>For Mediation</x:v>
      </x:c>
      <x:c r="K23" s="13" t="str">
        <x:v>KP_COVERED_AMICABLE</x:v>
      </x:c>
      <x:c r="L23" s="13" t="str">
        <x:v>Eligible for KP screening</x:v>
      </x:c>
      <x:c r="M23" s="13" t="str">
        <x:v>Proceed to barangay conciliation / mediation screening</x:v>
      </x:c>
      <x:c r="N23" s="13" t="str">
        <x:v>Local property, boundary, access, or neighbor-use dispute.</x:v>
      </x:c>
      <x:c r="O23" s="13" t="str"/>
      <x:c r="P23" s="13" t="str">
        <x:v>Paglilinaw sa bakod na lumampas sa hangganan ng lote</x:v>
      </x:c>
      <x:c r="Q23" s="13" t="str">
        <x:v>Added to balance 'boundary/property' to 49 examples using the same Justice KP label schema.</x:v>
      </x:c>
      <x:c r="R23" s="13" t="str">
        <x:v>Synthetic row based on category coverage gap from uploaded PDF</x:v>
      </x:c>
    </x:row>
    <x:row r="24" ht="36" customHeight="1">
      <x:c r="A24" s="13" t="str">
        <x:v>SYN-PROP-012</x:v>
      </x:c>
      <x:c r="B24" s="13" t="str">
        <x:v>boundary/property</x:v>
      </x:c>
      <x:c r="C24" s="13" t="str">
        <x:v>Synthetic</x:v>
      </x:c>
      <x:c r="D24" s="13" t="str"/>
      <x:c r="E24" s="13" t="str">
        <x:v>Civil</x:v>
      </x:c>
      <x:c r="F24" s="13" t="str">
        <x:v>Alitan sa daanan papunta sa likod ng bahay</x:v>
      </x:c>
      <x:c r="G24" s="13" t="str">
        <x:v>February 6, 2026</x:v>
      </x:c>
      <x:c r="H24" s="13" t="str">
        <x:v>-</x:v>
      </x:c>
      <x:c r="I24" s="13" t="str">
        <x:v>Synthetic example: parties are neighbors/residents; no prior court filing stated; for barangay mediation eligibility screening.</x:v>
      </x:c>
      <x:c r="J24" s="13" t="str">
        <x:v>For Mediation</x:v>
      </x:c>
      <x:c r="K24" s="13" t="str">
        <x:v>KP_COVERED_AMICABLE</x:v>
      </x:c>
      <x:c r="L24" s="13" t="str">
        <x:v>Eligible for KP screening</x:v>
      </x:c>
      <x:c r="M24" s="13" t="str">
        <x:v>Proceed to barangay conciliation / mediation screening</x:v>
      </x:c>
      <x:c r="N24" s="13" t="str">
        <x:v>Local property, boundary, access, or neighbor-use dispute.</x:v>
      </x:c>
      <x:c r="O24" s="13" t="str"/>
      <x:c r="P24" s="13" t="str">
        <x:v>Alitan sa daanan papunta sa likod ng bahay</x:v>
      </x:c>
      <x:c r="Q24" s="13" t="str">
        <x:v>Added to balance 'boundary/property' to 49 examples using the same Justice KP label schema.</x:v>
      </x:c>
      <x:c r="R24" s="13" t="str">
        <x:v>Synthetic row based on category coverage gap from uploaded PDF</x:v>
      </x:c>
    </x:row>
    <x:row r="25" ht="36" customHeight="1">
      <x:c r="A25" s="13" t="str">
        <x:v>SYN-PROP-013</x:v>
      </x:c>
      <x:c r="B25" s="13" t="str">
        <x:v>boundary/property</x:v>
      </x:c>
      <x:c r="C25" s="13" t="str">
        <x:v>Synthetic</x:v>
      </x:c>
      <x:c r="D25" s="13" t="str"/>
      <x:c r="E25" s="13" t="str">
        <x:v>Civil</x:v>
      </x:c>
      <x:c r="F25" s="13" t="str">
        <x:v>Paglilinaw sa puno na nakapasok sa bakuran ng kapitbahay</x:v>
      </x:c>
      <x:c r="G25" s="13" t="str">
        <x:v>February 9, 2026</x:v>
      </x:c>
      <x:c r="H25" s="13" t="str">
        <x:v>-</x:v>
      </x:c>
      <x:c r="I25" s="13" t="str">
        <x:v>Synthetic example: parties are neighbors/residents; no prior court filing stated; for barangay mediation eligibility screening.</x:v>
      </x:c>
      <x:c r="J25" s="13" t="str">
        <x:v>For Mediation</x:v>
      </x:c>
      <x:c r="K25" s="13" t="str">
        <x:v>KP_COVERED_AMICABLE</x:v>
      </x:c>
      <x:c r="L25" s="13" t="str">
        <x:v>Eligible for KP screening</x:v>
      </x:c>
      <x:c r="M25" s="13" t="str">
        <x:v>Proceed to barangay conciliation / mediation screening</x:v>
      </x:c>
      <x:c r="N25" s="13" t="str">
        <x:v>Local property, boundary, access, or neighbor-use dispute.</x:v>
      </x:c>
      <x:c r="O25" s="13" t="str"/>
      <x:c r="P25" s="13" t="str">
        <x:v>Paglilinaw sa puno na nakapasok sa bakuran ng kapitbahay</x:v>
      </x:c>
      <x:c r="Q25" s="13" t="str">
        <x:v>Added to balance 'boundary/property' to 49 examples using the same Justice KP label schema.</x:v>
      </x:c>
      <x:c r="R25" s="13" t="str">
        <x:v>Synthetic row based on category coverage gap from uploaded PDF</x:v>
      </x:c>
    </x:row>
    <x:row r="26" ht="36" customHeight="1">
      <x:c r="A26" s="13" t="str">
        <x:v>SYN-PROP-014</x:v>
      </x:c>
      <x:c r="B26" s="13" t="str">
        <x:v>boundary/property</x:v>
      </x:c>
      <x:c r="C26" s="13" t="str">
        <x:v>Synthetic</x:v>
      </x:c>
      <x:c r="D26" s="13" t="str"/>
      <x:c r="E26" s="13" t="str">
        <x:v>Civil</x:v>
      </x:c>
      <x:c r="F26" s="13" t="str">
        <x:v>Hindi pagkakasundo sa linya ng kanal sa pagitan ng dalawang bahay</x:v>
      </x:c>
      <x:c r="G26" s="13" t="str">
        <x:v>February 12, 2026</x:v>
      </x:c>
      <x:c r="H26" s="13" t="str">
        <x:v>-</x:v>
      </x:c>
      <x:c r="I26" s="13" t="str">
        <x:v>Synthetic example: parties are neighbors/residents; no prior court filing stated; for barangay mediation eligibility screening.</x:v>
      </x:c>
      <x:c r="J26" s="13" t="str">
        <x:v>For Mediation</x:v>
      </x:c>
      <x:c r="K26" s="13" t="str">
        <x:v>KP_COVERED_AMICABLE</x:v>
      </x:c>
      <x:c r="L26" s="13" t="str">
        <x:v>Eligible for KP screening</x:v>
      </x:c>
      <x:c r="M26" s="13" t="str">
        <x:v>Proceed to barangay conciliation / mediation screening</x:v>
      </x:c>
      <x:c r="N26" s="13" t="str">
        <x:v>Local property, boundary, access, or neighbor-use dispute.</x:v>
      </x:c>
      <x:c r="O26" s="13" t="str"/>
      <x:c r="P26" s="13" t="str">
        <x:v>Hindi pagkakasundo sa linya ng kanal sa pagitan ng dalawang bahay</x:v>
      </x:c>
      <x:c r="Q26" s="13" t="str">
        <x:v>Added to balance 'boundary/property' to 49 examples using the same Justice KP label schema.</x:v>
      </x:c>
      <x:c r="R26" s="13" t="str">
        <x:v>Synthetic row based on category coverage gap from uploaded PDF</x:v>
      </x:c>
    </x:row>
    <x:row r="27" ht="36" customHeight="1">
      <x:c r="A27" s="13" t="str">
        <x:v>SYN-PROP-015</x:v>
      </x:c>
      <x:c r="B27" s="13" t="str">
        <x:v>boundary/property</x:v>
      </x:c>
      <x:c r="C27" s="13" t="str">
        <x:v>Synthetic</x:v>
      </x:c>
      <x:c r="D27" s="13" t="str"/>
      <x:c r="E27" s="13" t="str">
        <x:v>Civil</x:v>
      </x:c>
      <x:c r="F27" s="13" t="str">
        <x:v>Pag-aaway tungkol sa lupaing minana ng magkapatid</x:v>
      </x:c>
      <x:c r="G27" s="13" t="str">
        <x:v>February 15, 2026</x:v>
      </x:c>
      <x:c r="H27" s="13" t="str">
        <x:v>-</x:v>
      </x:c>
      <x:c r="I27" s="13" t="str">
        <x:v>Synthetic example: parties are neighbors/residents; no prior court filing stated; for barangay mediation eligibility screening.</x:v>
      </x:c>
      <x:c r="J27" s="13" t="str">
        <x:v>For Mediation</x:v>
      </x:c>
      <x:c r="K27" s="13" t="str">
        <x:v>KP_COVERED_AMICABLE</x:v>
      </x:c>
      <x:c r="L27" s="13" t="str">
        <x:v>Eligible for KP screening</x:v>
      </x:c>
      <x:c r="M27" s="13" t="str">
        <x:v>Proceed to barangay conciliation / mediation screening</x:v>
      </x:c>
      <x:c r="N27" s="13" t="str">
        <x:v>Local property, boundary, access, or neighbor-use dispute.</x:v>
      </x:c>
      <x:c r="O27" s="13" t="str"/>
      <x:c r="P27" s="13" t="str">
        <x:v>Pag-aaway tungkol sa lupaing minana ng magkapatid</x:v>
      </x:c>
      <x:c r="Q27" s="13" t="str">
        <x:v>Added to balance 'boundary/property' to 49 examples using the same Justice KP label schema.</x:v>
      </x:c>
      <x:c r="R27" s="13" t="str">
        <x:v>Synthetic row based on category coverage gap from uploaded PDF</x:v>
      </x:c>
    </x:row>
    <x:row r="28" ht="36" customHeight="1">
      <x:c r="A28" s="13" t="str">
        <x:v>SYN-PROP-016</x:v>
      </x:c>
      <x:c r="B28" s="13" t="str">
        <x:v>boundary/property</x:v>
      </x:c>
      <x:c r="C28" s="13" t="str">
        <x:v>Synthetic</x:v>
      </x:c>
      <x:c r="D28" s="13" t="str"/>
      <x:c r="E28" s="13" t="str">
        <x:v>Civil</x:v>
      </x:c>
      <x:c r="F28" s="13" t="str">
        <x:v>Paglilinaw sa sukat ng lote matapos magpagawa ng bakod</x:v>
      </x:c>
      <x:c r="G28" s="13" t="str">
        <x:v>February 18, 2026</x:v>
      </x:c>
      <x:c r="H28" s="13" t="str">
        <x:v>-</x:v>
      </x:c>
      <x:c r="I28" s="13" t="str">
        <x:v>Synthetic example: parties are neighbors/residents; no prior court filing stated; for barangay mediation eligibility screening.</x:v>
      </x:c>
      <x:c r="J28" s="13" t="str">
        <x:v>For Mediation</x:v>
      </x:c>
      <x:c r="K28" s="13" t="str">
        <x:v>KP_COVERED_AMICABLE</x:v>
      </x:c>
      <x:c r="L28" s="13" t="str">
        <x:v>Eligible for KP screening</x:v>
      </x:c>
      <x:c r="M28" s="13" t="str">
        <x:v>Proceed to barangay conciliation / mediation screening</x:v>
      </x:c>
      <x:c r="N28" s="13" t="str">
        <x:v>Local property, boundary, access, or neighbor-use dispute.</x:v>
      </x:c>
      <x:c r="O28" s="13" t="str"/>
      <x:c r="P28" s="13" t="str">
        <x:v>Paglilinaw sa sukat ng lote matapos magpagawa ng bakod</x:v>
      </x:c>
      <x:c r="Q28" s="13" t="str">
        <x:v>Added to balance 'boundary/property' to 49 examples using the same Justice KP label schema.</x:v>
      </x:c>
      <x:c r="R28" s="13" t="str">
        <x:v>Synthetic row based on category coverage gap from uploaded PDF</x:v>
      </x:c>
    </x:row>
    <x:row r="29" ht="36" customHeight="1">
      <x:c r="A29" s="13" t="str">
        <x:v>SYN-PROP-017</x:v>
      </x:c>
      <x:c r="B29" s="13" t="str">
        <x:v>boundary/property</x:v>
      </x:c>
      <x:c r="C29" s="13" t="str">
        <x:v>Synthetic</x:v>
      </x:c>
      <x:c r="D29" s="13" t="str"/>
      <x:c r="E29" s="13" t="str">
        <x:v>Civil</x:v>
      </x:c>
      <x:c r="F29" s="13" t="str">
        <x:v>Pagharang sa dating daanan ng pamilya papunta sa kalsada</x:v>
      </x:c>
      <x:c r="G29" s="13" t="str">
        <x:v>February 21, 2026</x:v>
      </x:c>
      <x:c r="H29" s="13" t="str">
        <x:v>-</x:v>
      </x:c>
      <x:c r="I29" s="13" t="str">
        <x:v>Synthetic example: parties are neighbors/residents; no prior court filing stated; for barangay mediation eligibility screening.</x:v>
      </x:c>
      <x:c r="J29" s="13" t="str">
        <x:v>For Mediation</x:v>
      </x:c>
      <x:c r="K29" s="13" t="str">
        <x:v>KP_COVERED_AMICABLE</x:v>
      </x:c>
      <x:c r="L29" s="13" t="str">
        <x:v>Eligible for KP screening</x:v>
      </x:c>
      <x:c r="M29" s="13" t="str">
        <x:v>Proceed to barangay conciliation / mediation screening</x:v>
      </x:c>
      <x:c r="N29" s="13" t="str">
        <x:v>Local property, boundary, access, or neighbor-use dispute.</x:v>
      </x:c>
      <x:c r="O29" s="13" t="str"/>
      <x:c r="P29" s="13" t="str">
        <x:v>Pagharang sa dating daanan ng pamilya papunta sa kalsada</x:v>
      </x:c>
      <x:c r="Q29" s="13" t="str">
        <x:v>Added to balance 'boundary/property' to 49 examples using the same Justice KP label schema.</x:v>
      </x:c>
      <x:c r="R29" s="13" t="str">
        <x:v>Synthetic row based on category coverage gap from uploaded PDF</x:v>
      </x:c>
    </x:row>
    <x:row r="30" ht="36" customHeight="1">
      <x:c r="A30" s="13" t="str">
        <x:v>SYN-PROP-018</x:v>
      </x:c>
      <x:c r="B30" s="13" t="str">
        <x:v>boundary/property</x:v>
      </x:c>
      <x:c r="C30" s="13" t="str">
        <x:v>Synthetic</x:v>
      </x:c>
      <x:c r="D30" s="13" t="str"/>
      <x:c r="E30" s="13" t="str">
        <x:v>Civil</x:v>
      </x:c>
      <x:c r="F30" s="13" t="str">
        <x:v>Reklamo sa pag-agos ng tubig mula sa bakuran ng kapitbahay</x:v>
      </x:c>
      <x:c r="G30" s="13" t="str">
        <x:v>February 24, 2026</x:v>
      </x:c>
      <x:c r="H30" s="13" t="str">
        <x:v>-</x:v>
      </x:c>
      <x:c r="I30" s="13" t="str">
        <x:v>Synthetic example: parties are neighbors/residents; no prior court filing stated; for barangay mediation eligibility screening.</x:v>
      </x:c>
      <x:c r="J30" s="13" t="str">
        <x:v>For Mediation</x:v>
      </x:c>
      <x:c r="K30" s="13" t="str">
        <x:v>KP_COVERED_AMICABLE</x:v>
      </x:c>
      <x:c r="L30" s="13" t="str">
        <x:v>Eligible for KP screening</x:v>
      </x:c>
      <x:c r="M30" s="13" t="str">
        <x:v>Proceed to barangay conciliation / mediation screening</x:v>
      </x:c>
      <x:c r="N30" s="13" t="str">
        <x:v>Local property, boundary, access, or neighbor-use dispute.</x:v>
      </x:c>
      <x:c r="O30" s="13" t="str"/>
      <x:c r="P30" s="13" t="str">
        <x:v>Reklamo sa pag-agos ng tubig mula sa bakuran ng kapitbahay</x:v>
      </x:c>
      <x:c r="Q30" s="13" t="str">
        <x:v>Added to balance 'boundary/property' to 49 examples using the same Justice KP label schema.</x:v>
      </x:c>
      <x:c r="R30" s="13" t="str">
        <x:v>Synthetic row based on category coverage gap from uploaded PDF</x:v>
      </x:c>
    </x:row>
    <x:row r="31" ht="36" customHeight="1">
      <x:c r="A31" s="13" t="str">
        <x:v>SYN-PROP-019</x:v>
      </x:c>
      <x:c r="B31" s="13" t="str">
        <x:v>boundary/property</x:v>
      </x:c>
      <x:c r="C31" s="13" t="str">
        <x:v>Synthetic</x:v>
      </x:c>
      <x:c r="D31" s="13" t="str"/>
      <x:c r="E31" s="13" t="str">
        <x:v>Civil</x:v>
      </x:c>
      <x:c r="F31" s="13" t="str">
        <x:v>Paglilinaw sa shared wall ng magkadikit na bahay</x:v>
      </x:c>
      <x:c r="G31" s="13" t="str">
        <x:v>February 27, 2026</x:v>
      </x:c>
      <x:c r="H31" s="13" t="str">
        <x:v>-</x:v>
      </x:c>
      <x:c r="I31" s="13" t="str">
        <x:v>Synthetic example: parties are neighbors/residents; no prior court filing stated; for barangay mediation eligibility screening.</x:v>
      </x:c>
      <x:c r="J31" s="13" t="str">
        <x:v>For Mediation</x:v>
      </x:c>
      <x:c r="K31" s="13" t="str">
        <x:v>KP_COVERED_AMICABLE</x:v>
      </x:c>
      <x:c r="L31" s="13" t="str">
        <x:v>Eligible for KP screening</x:v>
      </x:c>
      <x:c r="M31" s="13" t="str">
        <x:v>Proceed to barangay conciliation / mediation screening</x:v>
      </x:c>
      <x:c r="N31" s="13" t="str">
        <x:v>Local property, boundary, access, or neighbor-use dispute.</x:v>
      </x:c>
      <x:c r="O31" s="13" t="str"/>
      <x:c r="P31" s="13" t="str">
        <x:v>Paglilinaw sa shared wall ng magkadikit na bahay</x:v>
      </x:c>
      <x:c r="Q31" s="13" t="str">
        <x:v>Added to balance 'boundary/property' to 49 examples using the same Justice KP label schema.</x:v>
      </x:c>
      <x:c r="R31" s="13" t="str">
        <x:v>Synthetic row based on category coverage gap from uploaded PDF</x:v>
      </x:c>
    </x:row>
    <x:row r="32" ht="36" customHeight="1">
      <x:c r="A32" s="13" t="str">
        <x:v>SYN-PROP-020</x:v>
      </x:c>
      <x:c r="B32" s="13" t="str">
        <x:v>boundary/property</x:v>
      </x:c>
      <x:c r="C32" s="13" t="str">
        <x:v>Synthetic</x:v>
      </x:c>
      <x:c r="D32" s="13" t="str"/>
      <x:c r="E32" s="13" t="str">
        <x:v>Civil</x:v>
      </x:c>
      <x:c r="F32" s="13" t="str">
        <x:v>Alitan sa paggamit ng bakanteng lote bilang parking</x:v>
      </x:c>
      <x:c r="G32" s="13" t="str">
        <x:v>March 2, 2026</x:v>
      </x:c>
      <x:c r="H32" s="13" t="str">
        <x:v>-</x:v>
      </x:c>
      <x:c r="I32" s="13" t="str">
        <x:v>Synthetic example: parties are neighbors/residents; no prior court filing stated; for barangay mediation eligibility screening.</x:v>
      </x:c>
      <x:c r="J32" s="13" t="str">
        <x:v>For Mediation</x:v>
      </x:c>
      <x:c r="K32" s="13" t="str">
        <x:v>KP_COVERED_AMICABLE</x:v>
      </x:c>
      <x:c r="L32" s="13" t="str">
        <x:v>Eligible for KP screening</x:v>
      </x:c>
      <x:c r="M32" s="13" t="str">
        <x:v>Proceed to barangay conciliation / mediation screening</x:v>
      </x:c>
      <x:c r="N32" s="13" t="str">
        <x:v>Local property, boundary, access, or neighbor-use dispute.</x:v>
      </x:c>
      <x:c r="O32" s="13" t="str"/>
      <x:c r="P32" s="13" t="str">
        <x:v>Alitan sa paggamit ng bakanteng lote bilang parking</x:v>
      </x:c>
      <x:c r="Q32" s="13" t="str">
        <x:v>Added to balance 'boundary/property' to 49 examples using the same Justice KP label schema.</x:v>
      </x:c>
      <x:c r="R32" s="13" t="str">
        <x:v>Synthetic row based on category coverage gap from uploaded PDF</x:v>
      </x:c>
    </x:row>
    <x:row r="33" ht="36" customHeight="1">
      <x:c r="A33" s="13" t="str">
        <x:v>SYN-PROP-021</x:v>
      </x:c>
      <x:c r="B33" s="13" t="str">
        <x:v>boundary/property</x:v>
      </x:c>
      <x:c r="C33" s="13" t="str">
        <x:v>Synthetic</x:v>
      </x:c>
      <x:c r="D33" s="13" t="str"/>
      <x:c r="E33" s="13" t="str">
        <x:v>Civil</x:v>
      </x:c>
      <x:c r="F33" s="13" t="str">
        <x:v>Paglilinaw sa bakod na lumampas sa hangganan ng lote</x:v>
      </x:c>
      <x:c r="G33" s="13" t="str">
        <x:v>March 5, 2026</x:v>
      </x:c>
      <x:c r="H33" s="13" t="str">
        <x:v>-</x:v>
      </x:c>
      <x:c r="I33" s="13" t="str">
        <x:v>Synthetic example: parties are neighbors/residents; no prior court filing stated; for barangay mediation eligibility screening.</x:v>
      </x:c>
      <x:c r="J33" s="13" t="str">
        <x:v>For Mediation</x:v>
      </x:c>
      <x:c r="K33" s="13" t="str">
        <x:v>KP_COVERED_AMICABLE</x:v>
      </x:c>
      <x:c r="L33" s="13" t="str">
        <x:v>Eligible for KP screening</x:v>
      </x:c>
      <x:c r="M33" s="13" t="str">
        <x:v>Proceed to barangay conciliation / mediation screening</x:v>
      </x:c>
      <x:c r="N33" s="13" t="str">
        <x:v>Local property, boundary, access, or neighbor-use dispute.</x:v>
      </x:c>
      <x:c r="O33" s="13" t="str"/>
      <x:c r="P33" s="13" t="str">
        <x:v>Paglilinaw sa bakod na lumampas sa hangganan ng lote</x:v>
      </x:c>
      <x:c r="Q33" s="13" t="str">
        <x:v>Added to balance 'boundary/property' to 49 examples using the same Justice KP label schema.</x:v>
      </x:c>
      <x:c r="R33" s="13" t="str">
        <x:v>Synthetic row based on category coverage gap from uploaded PDF</x:v>
      </x:c>
    </x:row>
    <x:row r="34" ht="36" customHeight="1">
      <x:c r="A34" s="13" t="str">
        <x:v>SYN-PROP-022</x:v>
      </x:c>
      <x:c r="B34" s="13" t="str">
        <x:v>boundary/property</x:v>
      </x:c>
      <x:c r="C34" s="13" t="str">
        <x:v>Synthetic</x:v>
      </x:c>
      <x:c r="D34" s="13" t="str"/>
      <x:c r="E34" s="13" t="str">
        <x:v>Civil</x:v>
      </x:c>
      <x:c r="F34" s="13" t="str">
        <x:v>Alitan sa daanan papunta sa likod ng bahay</x:v>
      </x:c>
      <x:c r="G34" s="13" t="str">
        <x:v>March 8, 2026</x:v>
      </x:c>
      <x:c r="H34" s="13" t="str">
        <x:v>-</x:v>
      </x:c>
      <x:c r="I34" s="13" t="str">
        <x:v>Synthetic example: parties are neighbors/residents; no prior court filing stated; for barangay mediation eligibility screening.</x:v>
      </x:c>
      <x:c r="J34" s="13" t="str">
        <x:v>For Mediation</x:v>
      </x:c>
      <x:c r="K34" s="13" t="str">
        <x:v>KP_COVERED_AMICABLE</x:v>
      </x:c>
      <x:c r="L34" s="13" t="str">
        <x:v>Eligible for KP screening</x:v>
      </x:c>
      <x:c r="M34" s="13" t="str">
        <x:v>Proceed to barangay conciliation / mediation screening</x:v>
      </x:c>
      <x:c r="N34" s="13" t="str">
        <x:v>Local property, boundary, access, or neighbor-use dispute.</x:v>
      </x:c>
      <x:c r="O34" s="13" t="str"/>
      <x:c r="P34" s="13" t="str">
        <x:v>Alitan sa daanan papunta sa likod ng bahay</x:v>
      </x:c>
      <x:c r="Q34" s="13" t="str">
        <x:v>Added to balance 'boundary/property' to 49 examples using the same Justice KP label schema.</x:v>
      </x:c>
      <x:c r="R34" s="13" t="str">
        <x:v>Synthetic row based on category coverage gap from uploaded PDF</x:v>
      </x:c>
    </x:row>
    <x:row r="35" ht="36" customHeight="1">
      <x:c r="A35" s="13" t="str">
        <x:v>SYN-PROP-023</x:v>
      </x:c>
      <x:c r="B35" s="13" t="str">
        <x:v>boundary/property</x:v>
      </x:c>
      <x:c r="C35" s="13" t="str">
        <x:v>Synthetic</x:v>
      </x:c>
      <x:c r="D35" s="13" t="str"/>
      <x:c r="E35" s="13" t="str">
        <x:v>Civil</x:v>
      </x:c>
      <x:c r="F35" s="13" t="str">
        <x:v>Paglilinaw sa puno na nakapasok sa bakuran ng kapitbahay</x:v>
      </x:c>
      <x:c r="G35" s="13" t="str">
        <x:v>March 11, 2026</x:v>
      </x:c>
      <x:c r="H35" s="13" t="str">
        <x:v>-</x:v>
      </x:c>
      <x:c r="I35" s="13" t="str">
        <x:v>Synthetic example: parties are neighbors/residents; no prior court filing stated; for barangay mediation eligibility screening.</x:v>
      </x:c>
      <x:c r="J35" s="13" t="str">
        <x:v>For Mediation</x:v>
      </x:c>
      <x:c r="K35" s="13" t="str">
        <x:v>KP_COVERED_AMICABLE</x:v>
      </x:c>
      <x:c r="L35" s="13" t="str">
        <x:v>Eligible for KP screening</x:v>
      </x:c>
      <x:c r="M35" s="13" t="str">
        <x:v>Proceed to barangay conciliation / mediation screening</x:v>
      </x:c>
      <x:c r="N35" s="13" t="str">
        <x:v>Local property, boundary, access, or neighbor-use dispute.</x:v>
      </x:c>
      <x:c r="O35" s="13" t="str"/>
      <x:c r="P35" s="13" t="str">
        <x:v>Paglilinaw sa puno na nakapasok sa bakuran ng kapitbahay</x:v>
      </x:c>
      <x:c r="Q35" s="13" t="str">
        <x:v>Added to balance 'boundary/property' to 49 examples using the same Justice KP label schema.</x:v>
      </x:c>
      <x:c r="R35" s="13" t="str">
        <x:v>Synthetic row based on category coverage gap from uploaded PDF</x:v>
      </x:c>
    </x:row>
    <x:row r="36" ht="36" customHeight="1">
      <x:c r="A36" s="13" t="str">
        <x:v>SYN-PROP-024</x:v>
      </x:c>
      <x:c r="B36" s="13" t="str">
        <x:v>boundary/property</x:v>
      </x:c>
      <x:c r="C36" s="13" t="str">
        <x:v>Synthetic</x:v>
      </x:c>
      <x:c r="D36" s="13" t="str"/>
      <x:c r="E36" s="13" t="str">
        <x:v>Civil</x:v>
      </x:c>
      <x:c r="F36" s="13" t="str">
        <x:v>Hindi pagkakasundo sa linya ng kanal sa pagitan ng dalawang bahay</x:v>
      </x:c>
      <x:c r="G36" s="13" t="str">
        <x:v>March 14, 2026</x:v>
      </x:c>
      <x:c r="H36" s="13" t="str">
        <x:v>-</x:v>
      </x:c>
      <x:c r="I36" s="13" t="str">
        <x:v>Synthetic example: parties are neighbors/residents; no prior court filing stated; for barangay mediation eligibility screening.</x:v>
      </x:c>
      <x:c r="J36" s="13" t="str">
        <x:v>For Mediation</x:v>
      </x:c>
      <x:c r="K36" s="13" t="str">
        <x:v>KP_COVERED_AMICABLE</x:v>
      </x:c>
      <x:c r="L36" s="13" t="str">
        <x:v>Eligible for KP screening</x:v>
      </x:c>
      <x:c r="M36" s="13" t="str">
        <x:v>Proceed to barangay conciliation / mediation screening</x:v>
      </x:c>
      <x:c r="N36" s="13" t="str">
        <x:v>Local property, boundary, access, or neighbor-use dispute.</x:v>
      </x:c>
      <x:c r="O36" s="13" t="str"/>
      <x:c r="P36" s="13" t="str">
        <x:v>Hindi pagkakasundo sa linya ng kanal sa pagitan ng dalawang bahay</x:v>
      </x:c>
      <x:c r="Q36" s="13" t="str">
        <x:v>Added to balance 'boundary/property' to 49 examples using the same Justice KP label schema.</x:v>
      </x:c>
      <x:c r="R36" s="13" t="str">
        <x:v>Synthetic row based on category coverage gap from uploaded PDF</x:v>
      </x:c>
    </x:row>
    <x:row r="37" ht="36" customHeight="1">
      <x:c r="A37" s="13" t="str">
        <x:v>SYN-PROP-025</x:v>
      </x:c>
      <x:c r="B37" s="13" t="str">
        <x:v>boundary/property</x:v>
      </x:c>
      <x:c r="C37" s="13" t="str">
        <x:v>Synthetic</x:v>
      </x:c>
      <x:c r="D37" s="13" t="str"/>
      <x:c r="E37" s="13" t="str">
        <x:v>Civil</x:v>
      </x:c>
      <x:c r="F37" s="13" t="str">
        <x:v>Pag-aaway tungkol sa lupaing minana ng magkapatid</x:v>
      </x:c>
      <x:c r="G37" s="13" t="str">
        <x:v>March 17, 2026</x:v>
      </x:c>
      <x:c r="H37" s="13" t="str">
        <x:v>-</x:v>
      </x:c>
      <x:c r="I37" s="13" t="str">
        <x:v>Synthetic example: parties are neighbors/residents; no prior court filing stated; for barangay mediation eligibility screening.</x:v>
      </x:c>
      <x:c r="J37" s="13" t="str">
        <x:v>For Mediation</x:v>
      </x:c>
      <x:c r="K37" s="13" t="str">
        <x:v>KP_COVERED_AMICABLE</x:v>
      </x:c>
      <x:c r="L37" s="13" t="str">
        <x:v>Eligible for KP screening</x:v>
      </x:c>
      <x:c r="M37" s="13" t="str">
        <x:v>Proceed to barangay conciliation / mediation screening</x:v>
      </x:c>
      <x:c r="N37" s="13" t="str">
        <x:v>Local property, boundary, access, or neighbor-use dispute.</x:v>
      </x:c>
      <x:c r="O37" s="13" t="str"/>
      <x:c r="P37" s="13" t="str">
        <x:v>Pag-aaway tungkol sa lupaing minana ng magkapatid</x:v>
      </x:c>
      <x:c r="Q37" s="13" t="str">
        <x:v>Added to balance 'boundary/property' to 49 examples using the same Justice KP label schema.</x:v>
      </x:c>
      <x:c r="R37" s="13" t="str">
        <x:v>Synthetic row based on category coverage gap from uploaded PDF</x:v>
      </x:c>
    </x:row>
    <x:row r="38" ht="36" customHeight="1">
      <x:c r="A38" s="13" t="str">
        <x:v>SYN-PROP-026</x:v>
      </x:c>
      <x:c r="B38" s="13" t="str">
        <x:v>boundary/property</x:v>
      </x:c>
      <x:c r="C38" s="13" t="str">
        <x:v>Synthetic</x:v>
      </x:c>
      <x:c r="D38" s="13" t="str"/>
      <x:c r="E38" s="13" t="str">
        <x:v>Civil</x:v>
      </x:c>
      <x:c r="F38" s="13" t="str">
        <x:v>Paglilinaw sa sukat ng lote matapos magpagawa ng bakod</x:v>
      </x:c>
      <x:c r="G38" s="13" t="str">
        <x:v>March 20, 2026</x:v>
      </x:c>
      <x:c r="H38" s="13" t="str">
        <x:v>-</x:v>
      </x:c>
      <x:c r="I38" s="13" t="str">
        <x:v>Synthetic example: parties are neighbors/residents; no prior court filing stated; for barangay mediation eligibility screening.</x:v>
      </x:c>
      <x:c r="J38" s="13" t="str">
        <x:v>For Mediation</x:v>
      </x:c>
      <x:c r="K38" s="13" t="str">
        <x:v>KP_COVERED_AMICABLE</x:v>
      </x:c>
      <x:c r="L38" s="13" t="str">
        <x:v>Eligible for KP screening</x:v>
      </x:c>
      <x:c r="M38" s="13" t="str">
        <x:v>Proceed to barangay conciliation / mediation screening</x:v>
      </x:c>
      <x:c r="N38" s="13" t="str">
        <x:v>Local property, boundary, access, or neighbor-use dispute.</x:v>
      </x:c>
      <x:c r="O38" s="13" t="str"/>
      <x:c r="P38" s="13" t="str">
        <x:v>Paglilinaw sa sukat ng lote matapos magpagawa ng bakod</x:v>
      </x:c>
      <x:c r="Q38" s="13" t="str">
        <x:v>Added to balance 'boundary/property' to 49 examples using the same Justice KP label schema.</x:v>
      </x:c>
      <x:c r="R38" s="13" t="str">
        <x:v>Synthetic row based on category coverage gap from uploaded PDF</x:v>
      </x:c>
    </x:row>
    <x:row r="39" ht="36" customHeight="1">
      <x:c r="A39" s="13" t="str">
        <x:v>SYN-PROP-027</x:v>
      </x:c>
      <x:c r="B39" s="13" t="str">
        <x:v>boundary/property</x:v>
      </x:c>
      <x:c r="C39" s="13" t="str">
        <x:v>Synthetic</x:v>
      </x:c>
      <x:c r="D39" s="13" t="str"/>
      <x:c r="E39" s="13" t="str">
        <x:v>Civil</x:v>
      </x:c>
      <x:c r="F39" s="13" t="str">
        <x:v>Pagharang sa dating daanan ng pamilya papunta sa kalsada</x:v>
      </x:c>
      <x:c r="G39" s="13" t="str">
        <x:v>March 23, 2026</x:v>
      </x:c>
      <x:c r="H39" s="13" t="str">
        <x:v>-</x:v>
      </x:c>
      <x:c r="I39" s="13" t="str">
        <x:v>Synthetic example: parties are neighbors/residents; no prior court filing stated; for barangay mediation eligibility screening.</x:v>
      </x:c>
      <x:c r="J39" s="13" t="str">
        <x:v>For Mediation</x:v>
      </x:c>
      <x:c r="K39" s="13" t="str">
        <x:v>KP_COVERED_AMICABLE</x:v>
      </x:c>
      <x:c r="L39" s="13" t="str">
        <x:v>Eligible for KP screening</x:v>
      </x:c>
      <x:c r="M39" s="13" t="str">
        <x:v>Proceed to barangay conciliation / mediation screening</x:v>
      </x:c>
      <x:c r="N39" s="13" t="str">
        <x:v>Local property, boundary, access, or neighbor-use dispute.</x:v>
      </x:c>
      <x:c r="O39" s="13" t="str"/>
      <x:c r="P39" s="13" t="str">
        <x:v>Pagharang sa dating daanan ng pamilya papunta sa kalsada</x:v>
      </x:c>
      <x:c r="Q39" s="13" t="str">
        <x:v>Added to balance 'boundary/property' to 49 examples using the same Justice KP label schema.</x:v>
      </x:c>
      <x:c r="R39" s="13" t="str">
        <x:v>Synthetic row based on category coverage gap from uploaded PDF</x:v>
      </x:c>
    </x:row>
    <x:row r="40" ht="36" customHeight="1">
      <x:c r="A40" s="13" t="str">
        <x:v>SYN-PROP-028</x:v>
      </x:c>
      <x:c r="B40" s="13" t="str">
        <x:v>boundary/property</x:v>
      </x:c>
      <x:c r="C40" s="13" t="str">
        <x:v>Synthetic</x:v>
      </x:c>
      <x:c r="D40" s="13" t="str"/>
      <x:c r="E40" s="13" t="str">
        <x:v>Civil</x:v>
      </x:c>
      <x:c r="F40" s="13" t="str">
        <x:v>Reklamo sa pag-agos ng tubig mula sa bakuran ng kapitbahay</x:v>
      </x:c>
      <x:c r="G40" s="13" t="str">
        <x:v>March 26, 2026</x:v>
      </x:c>
      <x:c r="H40" s="13" t="str">
        <x:v>-</x:v>
      </x:c>
      <x:c r="I40" s="13" t="str">
        <x:v>Synthetic example: parties are neighbors/residents; no prior court filing stated; for barangay mediation eligibility screening.</x:v>
      </x:c>
      <x:c r="J40" s="13" t="str">
        <x:v>For Mediation</x:v>
      </x:c>
      <x:c r="K40" s="13" t="str">
        <x:v>KP_COVERED_AMICABLE</x:v>
      </x:c>
      <x:c r="L40" s="13" t="str">
        <x:v>Eligible for KP screening</x:v>
      </x:c>
      <x:c r="M40" s="13" t="str">
        <x:v>Proceed to barangay conciliation / mediation screening</x:v>
      </x:c>
      <x:c r="N40" s="13" t="str">
        <x:v>Local property, boundary, access, or neighbor-use dispute.</x:v>
      </x:c>
      <x:c r="O40" s="13" t="str"/>
      <x:c r="P40" s="13" t="str">
        <x:v>Reklamo sa pag-agos ng tubig mula sa bakuran ng kapitbahay</x:v>
      </x:c>
      <x:c r="Q40" s="13" t="str">
        <x:v>Added to balance 'boundary/property' to 49 examples using the same Justice KP label schema.</x:v>
      </x:c>
      <x:c r="R40" s="13" t="str">
        <x:v>Synthetic row based on category coverage gap from uploaded PDF</x:v>
      </x:c>
    </x:row>
    <x:row r="41" ht="36" customHeight="1">
      <x:c r="A41" s="13" t="str">
        <x:v>SYN-PROP-029</x:v>
      </x:c>
      <x:c r="B41" s="13" t="str">
        <x:v>boundary/property</x:v>
      </x:c>
      <x:c r="C41" s="13" t="str">
        <x:v>Synthetic</x:v>
      </x:c>
      <x:c r="D41" s="13" t="str"/>
      <x:c r="E41" s="13" t="str">
        <x:v>Civil</x:v>
      </x:c>
      <x:c r="F41" s="13" t="str">
        <x:v>Paglilinaw sa shared wall ng magkadikit na bahay</x:v>
      </x:c>
      <x:c r="G41" s="13" t="str">
        <x:v>March 29, 2026</x:v>
      </x:c>
      <x:c r="H41" s="13" t="str">
        <x:v>-</x:v>
      </x:c>
      <x:c r="I41" s="13" t="str">
        <x:v>Synthetic example: parties are neighbors/residents; no prior court filing stated; for barangay mediation eligibility screening.</x:v>
      </x:c>
      <x:c r="J41" s="13" t="str">
        <x:v>For Mediation</x:v>
      </x:c>
      <x:c r="K41" s="13" t="str">
        <x:v>KP_COVERED_AMICABLE</x:v>
      </x:c>
      <x:c r="L41" s="13" t="str">
        <x:v>Eligible for KP screening</x:v>
      </x:c>
      <x:c r="M41" s="13" t="str">
        <x:v>Proceed to barangay conciliation / mediation screening</x:v>
      </x:c>
      <x:c r="N41" s="13" t="str">
        <x:v>Local property, boundary, access, or neighbor-use dispute.</x:v>
      </x:c>
      <x:c r="O41" s="13" t="str"/>
      <x:c r="P41" s="13" t="str">
        <x:v>Paglilinaw sa shared wall ng magkadikit na bahay</x:v>
      </x:c>
      <x:c r="Q41" s="13" t="str">
        <x:v>Added to balance 'boundary/property' to 49 examples using the same Justice KP label schema.</x:v>
      </x:c>
      <x:c r="R41" s="13" t="str">
        <x:v>Synthetic row based on category coverage gap from uploaded PDF</x:v>
      </x:c>
    </x:row>
    <x:row r="42" ht="36" customHeight="1">
      <x:c r="A42" s="13" t="str">
        <x:v>SYN-PROP-030</x:v>
      </x:c>
      <x:c r="B42" s="13" t="str">
        <x:v>boundary/property</x:v>
      </x:c>
      <x:c r="C42" s="13" t="str">
        <x:v>Synthetic</x:v>
      </x:c>
      <x:c r="D42" s="13" t="str"/>
      <x:c r="E42" s="13" t="str">
        <x:v>Civil</x:v>
      </x:c>
      <x:c r="F42" s="13" t="str">
        <x:v>Alitan sa paggamit ng bakanteng lote bilang parking</x:v>
      </x:c>
      <x:c r="G42" s="13" t="str">
        <x:v>April 1, 2026</x:v>
      </x:c>
      <x:c r="H42" s="13" t="str">
        <x:v>-</x:v>
      </x:c>
      <x:c r="I42" s="13" t="str">
        <x:v>Synthetic example: parties are neighbors/residents; no prior court filing stated; for barangay mediation eligibility screening.</x:v>
      </x:c>
      <x:c r="J42" s="13" t="str">
        <x:v>For Mediation</x:v>
      </x:c>
      <x:c r="K42" s="13" t="str">
        <x:v>KP_COVERED_AMICABLE</x:v>
      </x:c>
      <x:c r="L42" s="13" t="str">
        <x:v>Eligible for KP screening</x:v>
      </x:c>
      <x:c r="M42" s="13" t="str">
        <x:v>Proceed to barangay conciliation / mediation screening</x:v>
      </x:c>
      <x:c r="N42" s="13" t="str">
        <x:v>Local property, boundary, access, or neighbor-use dispute.</x:v>
      </x:c>
      <x:c r="O42" s="13" t="str"/>
      <x:c r="P42" s="13" t="str">
        <x:v>Alitan sa paggamit ng bakanteng lote bilang parking</x:v>
      </x:c>
      <x:c r="Q42" s="13" t="str">
        <x:v>Added to balance 'boundary/property' to 49 examples using the same Justice KP label schema.</x:v>
      </x:c>
      <x:c r="R42" s="13" t="str">
        <x:v>Synthetic row based on category coverage gap from uploaded PDF</x:v>
      </x:c>
    </x:row>
    <x:row r="43" ht="36" customHeight="1">
      <x:c r="A43" s="13" t="str">
        <x:v>SYN-PROP-031</x:v>
      </x:c>
      <x:c r="B43" s="13" t="str">
        <x:v>boundary/property</x:v>
      </x:c>
      <x:c r="C43" s="13" t="str">
        <x:v>Synthetic</x:v>
      </x:c>
      <x:c r="D43" s="13" t="str"/>
      <x:c r="E43" s="13" t="str">
        <x:v>Civil</x:v>
      </x:c>
      <x:c r="F43" s="13" t="str">
        <x:v>Paglilinaw sa bakod na lumampas sa hangganan ng lote</x:v>
      </x:c>
      <x:c r="G43" s="13" t="str">
        <x:v>April 4, 2026</x:v>
      </x:c>
      <x:c r="H43" s="13" t="str">
        <x:v>-</x:v>
      </x:c>
      <x:c r="I43" s="13" t="str">
        <x:v>Synthetic example: parties are neighbors/residents; no prior court filing stated; for barangay mediation eligibility screening.</x:v>
      </x:c>
      <x:c r="J43" s="13" t="str">
        <x:v>For Mediation</x:v>
      </x:c>
      <x:c r="K43" s="13" t="str">
        <x:v>KP_COVERED_AMICABLE</x:v>
      </x:c>
      <x:c r="L43" s="13" t="str">
        <x:v>Eligible for KP screening</x:v>
      </x:c>
      <x:c r="M43" s="13" t="str">
        <x:v>Proceed to barangay conciliation / mediation screening</x:v>
      </x:c>
      <x:c r="N43" s="13" t="str">
        <x:v>Local property, boundary, access, or neighbor-use dispute.</x:v>
      </x:c>
      <x:c r="O43" s="13" t="str"/>
      <x:c r="P43" s="13" t="str">
        <x:v>Paglilinaw sa bakod na lumampas sa hangganan ng lote</x:v>
      </x:c>
      <x:c r="Q43" s="13" t="str">
        <x:v>Added to balance 'boundary/property' to 49 examples using the same Justice KP label schema.</x:v>
      </x:c>
      <x:c r="R43" s="13" t="str">
        <x:v>Synthetic row based on category coverage gap from uploaded PDF</x:v>
      </x:c>
    </x:row>
    <x:row r="44" ht="36" customHeight="1">
      <x:c r="A44" s="13" t="str">
        <x:v>SYN-PROP-032</x:v>
      </x:c>
      <x:c r="B44" s="13" t="str">
        <x:v>boundary/property</x:v>
      </x:c>
      <x:c r="C44" s="13" t="str">
        <x:v>Synthetic</x:v>
      </x:c>
      <x:c r="D44" s="13" t="str"/>
      <x:c r="E44" s="13" t="str">
        <x:v>Civil</x:v>
      </x:c>
      <x:c r="F44" s="13" t="str">
        <x:v>Alitan sa daanan papunta sa likod ng bahay</x:v>
      </x:c>
      <x:c r="G44" s="13" t="str">
        <x:v>April 7, 2026</x:v>
      </x:c>
      <x:c r="H44" s="13" t="str">
        <x:v>-</x:v>
      </x:c>
      <x:c r="I44" s="13" t="str">
        <x:v>Synthetic example: parties are neighbors/residents; no prior court filing stated; for barangay mediation eligibility screening.</x:v>
      </x:c>
      <x:c r="J44" s="13" t="str">
        <x:v>For Mediation</x:v>
      </x:c>
      <x:c r="K44" s="13" t="str">
        <x:v>KP_COVERED_AMICABLE</x:v>
      </x:c>
      <x:c r="L44" s="13" t="str">
        <x:v>Eligible for KP screening</x:v>
      </x:c>
      <x:c r="M44" s="13" t="str">
        <x:v>Proceed to barangay conciliation / mediation screening</x:v>
      </x:c>
      <x:c r="N44" s="13" t="str">
        <x:v>Local property, boundary, access, or neighbor-use dispute.</x:v>
      </x:c>
      <x:c r="O44" s="13" t="str"/>
      <x:c r="P44" s="13" t="str">
        <x:v>Alitan sa daanan papunta sa likod ng bahay</x:v>
      </x:c>
      <x:c r="Q44" s="13" t="str">
        <x:v>Added to balance 'boundary/property' to 49 examples using the same Justice KP label schema.</x:v>
      </x:c>
      <x:c r="R44" s="13" t="str">
        <x:v>Synthetic row based on category coverage gap from uploaded PDF</x:v>
      </x:c>
    </x:row>
    <x:row r="45" ht="36" customHeight="1">
      <x:c r="A45" s="13" t="str">
        <x:v>SYN-PROP-033</x:v>
      </x:c>
      <x:c r="B45" s="13" t="str">
        <x:v>boundary/property</x:v>
      </x:c>
      <x:c r="C45" s="13" t="str">
        <x:v>Synthetic</x:v>
      </x:c>
      <x:c r="D45" s="13" t="str"/>
      <x:c r="E45" s="13" t="str">
        <x:v>Civil</x:v>
      </x:c>
      <x:c r="F45" s="13" t="str">
        <x:v>Paglilinaw sa puno na nakapasok sa bakuran ng kapitbahay</x:v>
      </x:c>
      <x:c r="G45" s="13" t="str">
        <x:v>April 10, 2026</x:v>
      </x:c>
      <x:c r="H45" s="13" t="str">
        <x:v>-</x:v>
      </x:c>
      <x:c r="I45" s="13" t="str">
        <x:v>Synthetic example: parties are neighbors/residents; no prior court filing stated; for barangay mediation eligibility screening.</x:v>
      </x:c>
      <x:c r="J45" s="13" t="str">
        <x:v>For Mediation</x:v>
      </x:c>
      <x:c r="K45" s="13" t="str">
        <x:v>KP_COVERED_AMICABLE</x:v>
      </x:c>
      <x:c r="L45" s="13" t="str">
        <x:v>Eligible for KP screening</x:v>
      </x:c>
      <x:c r="M45" s="13" t="str">
        <x:v>Proceed to barangay conciliation / mediation screening</x:v>
      </x:c>
      <x:c r="N45" s="13" t="str">
        <x:v>Local property, boundary, access, or neighbor-use dispute.</x:v>
      </x:c>
      <x:c r="O45" s="13" t="str"/>
      <x:c r="P45" s="13" t="str">
        <x:v>Paglilinaw sa puno na nakapasok sa bakuran ng kapitbahay</x:v>
      </x:c>
      <x:c r="Q45" s="13" t="str">
        <x:v>Added to balance 'boundary/property' to 49 examples using the same Justice KP label schema.</x:v>
      </x:c>
      <x:c r="R45" s="13" t="str">
        <x:v>Synthetic row based on category coverage gap from uploaded PDF</x:v>
      </x:c>
    </x:row>
    <x:row r="46" ht="36" customHeight="1">
      <x:c r="A46" s="13" t="str">
        <x:v>SYN-PROP-034</x:v>
      </x:c>
      <x:c r="B46" s="13" t="str">
        <x:v>boundary/property</x:v>
      </x:c>
      <x:c r="C46" s="13" t="str">
        <x:v>Synthetic</x:v>
      </x:c>
      <x:c r="D46" s="13" t="str"/>
      <x:c r="E46" s="13" t="str">
        <x:v>Civil</x:v>
      </x:c>
      <x:c r="F46" s="13" t="str">
        <x:v>Hindi pagkakasundo sa linya ng kanal sa pagitan ng dalawang bahay</x:v>
      </x:c>
      <x:c r="G46" s="13" t="str">
        <x:v>April 13, 2026</x:v>
      </x:c>
      <x:c r="H46" s="13" t="str">
        <x:v>-</x:v>
      </x:c>
      <x:c r="I46" s="13" t="str">
        <x:v>Synthetic example: parties are neighbors/residents; no prior court filing stated; for barangay mediation eligibility screening.</x:v>
      </x:c>
      <x:c r="J46" s="13" t="str">
        <x:v>For Mediation</x:v>
      </x:c>
      <x:c r="K46" s="13" t="str">
        <x:v>KP_COVERED_AMICABLE</x:v>
      </x:c>
      <x:c r="L46" s="13" t="str">
        <x:v>Eligible for KP screening</x:v>
      </x:c>
      <x:c r="M46" s="13" t="str">
        <x:v>Proceed to barangay conciliation / mediation screening</x:v>
      </x:c>
      <x:c r="N46" s="13" t="str">
        <x:v>Local property, boundary, access, or neighbor-use dispute.</x:v>
      </x:c>
      <x:c r="O46" s="13" t="str"/>
      <x:c r="P46" s="13" t="str">
        <x:v>Hindi pagkakasundo sa linya ng kanal sa pagitan ng dalawang bahay</x:v>
      </x:c>
      <x:c r="Q46" s="13" t="str">
        <x:v>Added to balance 'boundary/property' to 49 examples using the same Justice KP label schema.</x:v>
      </x:c>
      <x:c r="R46" s="13" t="str">
        <x:v>Synthetic row based on category coverage gap from uploaded PDF</x:v>
      </x:c>
    </x:row>
    <x:row r="47" ht="36" customHeight="1">
      <x:c r="A47" s="13" t="str">
        <x:v>SYN-PROP-035</x:v>
      </x:c>
      <x:c r="B47" s="13" t="str">
        <x:v>boundary/property</x:v>
      </x:c>
      <x:c r="C47" s="13" t="str">
        <x:v>Synthetic</x:v>
      </x:c>
      <x:c r="D47" s="13" t="str"/>
      <x:c r="E47" s="13" t="str">
        <x:v>Civil</x:v>
      </x:c>
      <x:c r="F47" s="13" t="str">
        <x:v>Pag-aaway tungkol sa lupaing minana ng magkapatid</x:v>
      </x:c>
      <x:c r="G47" s="13" t="str">
        <x:v>April 16, 2026</x:v>
      </x:c>
      <x:c r="H47" s="13" t="str">
        <x:v>-</x:v>
      </x:c>
      <x:c r="I47" s="13" t="str">
        <x:v>Synthetic example: parties are neighbors/residents; no prior court filing stated; for barangay mediation eligibility screening.</x:v>
      </x:c>
      <x:c r="J47" s="13" t="str">
        <x:v>For Mediation</x:v>
      </x:c>
      <x:c r="K47" s="13" t="str">
        <x:v>KP_COVERED_AMICABLE</x:v>
      </x:c>
      <x:c r="L47" s="13" t="str">
        <x:v>Eligible for KP screening</x:v>
      </x:c>
      <x:c r="M47" s="13" t="str">
        <x:v>Proceed to barangay conciliation / mediation screening</x:v>
      </x:c>
      <x:c r="N47" s="13" t="str">
        <x:v>Local property, boundary, access, or neighbor-use dispute.</x:v>
      </x:c>
      <x:c r="O47" s="13" t="str"/>
      <x:c r="P47" s="13" t="str">
        <x:v>Pag-aaway tungkol sa lupaing minana ng magkapatid</x:v>
      </x:c>
      <x:c r="Q47" s="13" t="str">
        <x:v>Added to balance 'boundary/property' to 49 examples using the same Justice KP label schema.</x:v>
      </x:c>
      <x:c r="R47" s="13" t="str">
        <x:v>Synthetic row based on category coverage gap from uploaded PDF</x:v>
      </x:c>
    </x:row>
    <x:row r="48" ht="36" customHeight="1">
      <x:c r="A48" s="13" t="str">
        <x:v>SYN-PROP-036</x:v>
      </x:c>
      <x:c r="B48" s="13" t="str">
        <x:v>boundary/property</x:v>
      </x:c>
      <x:c r="C48" s="13" t="str">
        <x:v>Synthetic</x:v>
      </x:c>
      <x:c r="D48" s="13" t="str"/>
      <x:c r="E48" s="13" t="str">
        <x:v>Civil</x:v>
      </x:c>
      <x:c r="F48" s="13" t="str">
        <x:v>Paglilinaw sa sukat ng lote matapos magpagawa ng bakod</x:v>
      </x:c>
      <x:c r="G48" s="13" t="str">
        <x:v>April 19, 2026</x:v>
      </x:c>
      <x:c r="H48" s="13" t="str">
        <x:v>-</x:v>
      </x:c>
      <x:c r="I48" s="13" t="str">
        <x:v>Synthetic example: parties are neighbors/residents; no prior court filing stated; for barangay mediation eligibility screening.</x:v>
      </x:c>
      <x:c r="J48" s="13" t="str">
        <x:v>For Mediation</x:v>
      </x:c>
      <x:c r="K48" s="13" t="str">
        <x:v>KP_COVERED_AMICABLE</x:v>
      </x:c>
      <x:c r="L48" s="13" t="str">
        <x:v>Eligible for KP screening</x:v>
      </x:c>
      <x:c r="M48" s="13" t="str">
        <x:v>Proceed to barangay conciliation / mediation screening</x:v>
      </x:c>
      <x:c r="N48" s="13" t="str">
        <x:v>Local property, boundary, access, or neighbor-use dispute.</x:v>
      </x:c>
      <x:c r="O48" s="13" t="str"/>
      <x:c r="P48" s="13" t="str">
        <x:v>Paglilinaw sa sukat ng lote matapos magpagawa ng bakod</x:v>
      </x:c>
      <x:c r="Q48" s="13" t="str">
        <x:v>Added to balance 'boundary/property' to 49 examples using the same Justice KP label schema.</x:v>
      </x:c>
      <x:c r="R48" s="13" t="str">
        <x:v>Synthetic row based on category coverage gap from uploaded PDF</x:v>
      </x:c>
    </x:row>
    <x:row r="49" ht="36" customHeight="1">
      <x:c r="A49" s="13" t="str">
        <x:v>SYN-PROP-037</x:v>
      </x:c>
      <x:c r="B49" s="13" t="str">
        <x:v>boundary/property</x:v>
      </x:c>
      <x:c r="C49" s="13" t="str">
        <x:v>Synthetic</x:v>
      </x:c>
      <x:c r="D49" s="13" t="str"/>
      <x:c r="E49" s="13" t="str">
        <x:v>Civil</x:v>
      </x:c>
      <x:c r="F49" s="13" t="str">
        <x:v>Pagharang sa dating daanan ng pamilya papunta sa kalsada</x:v>
      </x:c>
      <x:c r="G49" s="13" t="str">
        <x:v>April 22, 2026</x:v>
      </x:c>
      <x:c r="H49" s="13" t="str">
        <x:v>-</x:v>
      </x:c>
      <x:c r="I49" s="13" t="str">
        <x:v>Synthetic example: parties are neighbors/residents; no prior court filing stated; for barangay mediation eligibility screening.</x:v>
      </x:c>
      <x:c r="J49" s="13" t="str">
        <x:v>For Mediation</x:v>
      </x:c>
      <x:c r="K49" s="13" t="str">
        <x:v>KP_COVERED_AMICABLE</x:v>
      </x:c>
      <x:c r="L49" s="13" t="str">
        <x:v>Eligible for KP screening</x:v>
      </x:c>
      <x:c r="M49" s="13" t="str">
        <x:v>Proceed to barangay conciliation / mediation screening</x:v>
      </x:c>
      <x:c r="N49" s="13" t="str">
        <x:v>Local property, boundary, access, or neighbor-use dispute.</x:v>
      </x:c>
      <x:c r="O49" s="13" t="str"/>
      <x:c r="P49" s="13" t="str">
        <x:v>Pagharang sa dating daanan ng pamilya papunta sa kalsada</x:v>
      </x:c>
      <x:c r="Q49" s="13" t="str">
        <x:v>Added to balance 'boundary/property' to 49 examples using the same Justice KP label schema.</x:v>
      </x:c>
      <x:c r="R49" s="13" t="str">
        <x:v>Synthetic row based on category coverage gap from uploaded PDF</x:v>
      </x:c>
    </x:row>
    <x:row r="50" ht="36" customHeight="1">
      <x:c r="A50" s="13" t="str">
        <x:v>SYN-PROP-038</x:v>
      </x:c>
      <x:c r="B50" s="13" t="str">
        <x:v>boundary/property</x:v>
      </x:c>
      <x:c r="C50" s="13" t="str">
        <x:v>Synthetic</x:v>
      </x:c>
      <x:c r="D50" s="13" t="str"/>
      <x:c r="E50" s="13" t="str">
        <x:v>Civil</x:v>
      </x:c>
      <x:c r="F50" s="13" t="str">
        <x:v>Reklamo sa pag-agos ng tubig mula sa bakuran ng kapitbahay</x:v>
      </x:c>
      <x:c r="G50" s="13" t="str">
        <x:v>April 25, 2026</x:v>
      </x:c>
      <x:c r="H50" s="13" t="str">
        <x:v>-</x:v>
      </x:c>
      <x:c r="I50" s="13" t="str">
        <x:v>Synthetic example: parties are neighbors/residents; no prior court filing stated; for barangay mediation eligibility screening.</x:v>
      </x:c>
      <x:c r="J50" s="13" t="str">
        <x:v>For Mediation</x:v>
      </x:c>
      <x:c r="K50" s="13" t="str">
        <x:v>KP_COVERED_AMICABLE</x:v>
      </x:c>
      <x:c r="L50" s="13" t="str">
        <x:v>Eligible for KP screening</x:v>
      </x:c>
      <x:c r="M50" s="13" t="str">
        <x:v>Proceed to barangay conciliation / mediation screening</x:v>
      </x:c>
      <x:c r="N50" s="13" t="str">
        <x:v>Local property, boundary, access, or neighbor-use dispute.</x:v>
      </x:c>
      <x:c r="O50" s="13" t="str"/>
      <x:c r="P50" s="13" t="str">
        <x:v>Reklamo sa pag-agos ng tubig mula sa bakuran ng kapitbahay</x:v>
      </x:c>
      <x:c r="Q50" s="13" t="str">
        <x:v>Added to balance 'boundary/property' to 49 examples using the same Justice KP label schema.</x:v>
      </x:c>
      <x:c r="R50" s="13" t="str">
        <x:v>Synthetic row based on category coverage gap from uploaded PDF</x:v>
      </x:c>
    </x:row>
  </x:sheetData>
  <x:pageMargins left="0.7" right="0.7" top="0.75" bottom="0.75" header="0.3" footer="0.3"/>
  <x:tableParts count="1">
    <x:tablePart xmlns:r="http://schemas.openxmlformats.org/officeDocument/2006/relationships" r:id="R7670596590114fb9"/>
  </x:tableParts>
</x:worksheet>
</file>

<file path=xl/worksheets/sheet7.xml><?xml version="1.0" encoding="utf-8"?>
<x:worksheet xmlns:x="http://schemas.openxmlformats.org/spreadsheetml/2006/main">
  <x:sheetFormatPr defaultRowHeight="15"/>
  <x:cols>
    <x:col min="1" max="1" width="18" hidden="0" customWidth="1"/>
    <x:col min="2" max="2" width="22" hidden="0" customWidth="1"/>
    <x:col min="3" max="3" width="13" hidden="0" customWidth="1"/>
    <x:col min="4" max="4" width="18" hidden="0" customWidth="1"/>
    <x:col min="5" max="5" width="18" hidden="0" customWidth="1"/>
    <x:col min="6" max="6" width="38" hidden="0" customWidth="1"/>
    <x:col min="7" max="7" width="17" hidden="0" customWidth="1"/>
    <x:col min="9" max="9" width="55" hidden="0" customWidth="1"/>
    <x:col min="11" max="11" width="24" hidden="0" customWidth="1"/>
    <x:col min="12" max="12" width="32" hidden="0" customWidth="1"/>
    <x:col min="13" max="13" width="42" hidden="0" customWidth="1"/>
    <x:col min="14" max="14" width="50" hidden="0" customWidth="1"/>
    <x:col min="17" max="17" width="50" hidden="0" customWidth="1"/>
    <x:col min="18" max="18" width="35" hidden="0" customWidth="1"/>
  </x:cols>
  <x:sheetData>
    <x:row r="1" ht="42" customHeight="1">
      <x:c r="A1" s="6" t="str">
        <x:v>case_id</x:v>
      </x:c>
      <x:c r="B1" s="6" t="str">
        <x:v>case_type</x:v>
      </x:c>
      <x:c r="C1" s="6" t="str">
        <x:v>source_type</x:v>
      </x:c>
      <x:c r="D1" s="6" t="str">
        <x:v>source_pdf_case_id</x:v>
      </x:c>
      <x:c r="E1" s="6" t="str">
        <x:v>original_dispute_category</x:v>
      </x:c>
      <x:c r="F1" s="6" t="str">
        <x:v>original_nature</x:v>
      </x:c>
      <x:c r="G1" s="6" t="str">
        <x:v>date_filed</x:v>
      </x:c>
      <x:c r="H1" s="6" t="str">
        <x:v>date_of_settlement_or_award</x:v>
      </x:c>
      <x:c r="I1" s="6" t="str">
        <x:v>conversation_status</x:v>
      </x:c>
      <x:c r="J1" s="6" t="str">
        <x:v>action_taken</x:v>
      </x:c>
      <x:c r="K1" s="6" t="str">
        <x:v>justice_kp_label</x:v>
      </x:c>
      <x:c r="L1" s="6" t="str">
        <x:v>kp_eligibility</x:v>
      </x:c>
      <x:c r="M1" s="6" t="str">
        <x:v>recommended_system_action</x:v>
      </x:c>
      <x:c r="N1" s="6" t="str">
        <x:v>label_reason</x:v>
      </x:c>
      <x:c r="O1" s="6" t="str">
        <x:v>amount_or_penalty_reference</x:v>
      </x:c>
      <x:c r="P1" s="6" t="str">
        <x:v>evidence_of_type</x:v>
      </x:c>
      <x:c r="Q1" s="6" t="str">
        <x:v>synthetic_generation_note</x:v>
      </x:c>
      <x:c r="R1" s="6" t="str">
        <x:v>source_file</x:v>
      </x:c>
    </x:row>
    <x:row r="2" ht="36" customHeight="1">
      <x:c r="A2" s="13" t="str">
        <x:v>KP-25-002-PSWT</x:v>
      </x:c>
      <x:c r="B2" s="13" t="str">
        <x:v>nuisance</x:v>
      </x:c>
      <x:c r="C2" s="13" t="str">
        <x:v>Real PDF</x:v>
      </x:c>
      <x:c r="D2" s="13" t="str">
        <x:v>KP-25-002-PSWT</x:v>
      </x:c>
      <x:c r="E2" s="13" t="str">
        <x:v>Civil</x:v>
      </x:c>
      <x:c r="F2" s="13" t="str">
        <x:v>Paglilinaw sa maingay na gawaan ng hollowblocks</x:v>
      </x:c>
      <x:c r="G2" s="13" t="str">
        <x:v>January 3, 2025</x:v>
      </x:c>
      <x:c r="H2" s="13" t="str">
        <x:v>June 15, 2025</x:v>
      </x:c>
      <x:c r="I2" s="13" t="str">
        <x:v>Nagkaroon ng pagkakasundo na aalisin ng ipinagsumbong ang makina ng hollowblocks sa loob ng isang taon at kalahati (December, 2026) at ang kanilang lugar ay maging stock files at sales area</x:v>
      </x:c>
      <x:c r="J2" s="13" t="str">
        <x:v>Settled</x:v>
      </x:c>
      <x:c r="K2" s="13" t="str">
        <x:v>KP_COVERED_AMICABLE</x:v>
      </x:c>
      <x:c r="L2" s="13" t="str">
        <x:v>Eligible for KP screening</x:v>
      </x:c>
      <x:c r="M2" s="13" t="str">
        <x:v>Proceed to barangay conciliation / mediation screening</x:v>
      </x:c>
      <x:c r="N2" s="13" t="str">
        <x:v>Neighbor nuisance issue suitable for barangay mediation if no disqualifying facts are present.</x:v>
      </x:c>
      <x:c r="O2" s="13" t="str"/>
      <x:c r="P2" s="13" t="str">
        <x:v>Paglilinaw sa maingay na gawaan ng hollowblocks</x:v>
      </x:c>
      <x:c r="Q2" s="13" t="str"/>
      <x:c r="R2" s="13" t="str">
        <x:v>KP CASE PSWT - Sheet1 - KP CASE PSWT - Sheet1.pdf</x:v>
      </x:c>
    </x:row>
    <x:row r="3" ht="36" customHeight="1">
      <x:c r="A3" s="13" t="str">
        <x:v>KP-25-094-PSWT</x:v>
      </x:c>
      <x:c r="B3" s="13" t="str">
        <x:v>nuisance</x:v>
      </x:c>
      <x:c r="C3" s="13" t="str">
        <x:v>Real PDF</x:v>
      </x:c>
      <x:c r="D3" s="13" t="str">
        <x:v>KP-25-094-PSWT</x:v>
      </x:c>
      <x:c r="E3" s="13" t="str">
        <x:v>Criminal</x:v>
      </x:c>
      <x:c r="F3" s="13" t="str">
        <x:v>Nakakaistorbo sa kapitbahay</x:v>
      </x:c>
      <x:c r="G3" s="13" t="str">
        <x:v>October 27, 2025</x:v>
      </x:c>
      <x:c r="H3" s="13" t="str">
        <x:v>-</x:v>
      </x:c>
      <x:c r="I3" s="13" t="str">
        <x:v>Nagkasundo at pakiusap ng maysumbong na hinaan ang volume kung nagvivideoke at iwasan ang magparada ng sasakyan sa daanan na sagabal. PAkiusap din ng ipinagsumbong na maalis ang kuryente ng maysumbong sa puno at sa poste.</x:v>
      </x:c>
      <x:c r="J3" s="13" t="str">
        <x:v>Settled</x:v>
      </x:c>
      <x:c r="K3" s="13" t="str">
        <x:v>KP_COVERED_AMICABLE</x:v>
      </x:c>
      <x:c r="L3" s="13" t="str">
        <x:v>Eligible for KP screening</x:v>
      </x:c>
      <x:c r="M3" s="13" t="str">
        <x:v>Proceed to barangay conciliation / mediation screening</x:v>
      </x:c>
      <x:c r="N3" s="13" t="str">
        <x:v>Neighbor nuisance issue suitable for barangay mediation if no disqualifying facts are present.</x:v>
      </x:c>
      <x:c r="O3" s="13" t="str"/>
      <x:c r="P3" s="13" t="str">
        <x:v>Nakakaistorbo sa kapitbahay</x:v>
      </x:c>
      <x:c r="Q3" s="13" t="str"/>
      <x:c r="R3" s="13" t="str">
        <x:v>KP CASE PSWT - Sheet1 - KP CASE PSWT - Sheet1.pdf</x:v>
      </x:c>
    </x:row>
    <x:row r="4" ht="36" customHeight="1">
      <x:c r="A4" s="13" t="str">
        <x:v>KP-25-108-PSWT</x:v>
      </x:c>
      <x:c r="B4" s="13" t="str">
        <x:v>nuisance</x:v>
      </x:c>
      <x:c r="C4" s="13" t="str">
        <x:v>Real PDF</x:v>
      </x:c>
      <x:c r="D4" s="13" t="str">
        <x:v>KP-25-108-PSWT</x:v>
      </x:c>
      <x:c r="E4" s="13" t="str">
        <x:v>Criminal</x:v>
      </x:c>
      <x:c r="F4" s="13" t="str">
        <x:v>Pag-iingay sa dis-oras ng gabi</x:v>
      </x:c>
      <x:c r="G4" s="13" t="str">
        <x:v>December 5, 2025</x:v>
      </x:c>
      <x:c r="H4" s="13" t="str">
        <x:v>January 7, 2026</x:v>
      </x:c>
      <x:c r="I4" s="13" t="str">
        <x:v>Nagkaroon ng pagkakasundo sa dalawang panig, iiwasan na lang ang pag-iinom sa lugar.</x:v>
      </x:c>
      <x:c r="J4" s="13" t="str">
        <x:v>Settled</x:v>
      </x:c>
      <x:c r="K4" s="13" t="str">
        <x:v>KP_COVERED_AMICABLE</x:v>
      </x:c>
      <x:c r="L4" s="13" t="str">
        <x:v>Eligible for KP screening</x:v>
      </x:c>
      <x:c r="M4" s="13" t="str">
        <x:v>Proceed to barangay conciliation / mediation screening</x:v>
      </x:c>
      <x:c r="N4" s="13" t="str">
        <x:v>Neighbor nuisance issue suitable for barangay mediation if no disqualifying facts are present.</x:v>
      </x:c>
      <x:c r="O4" s="13" t="str"/>
      <x:c r="P4" s="13" t="str">
        <x:v>Pag-iingay sa dis-oras ng gabi</x:v>
      </x:c>
      <x:c r="Q4" s="13" t="str"/>
      <x:c r="R4" s="13" t="str">
        <x:v>KP CASE PSWT - Sheet1 - KP CASE PSWT - Sheet1.pdf</x:v>
      </x:c>
    </x:row>
    <x:row r="5" ht="36" customHeight="1">
      <x:c r="A5" s="13" t="str">
        <x:v>KP-25-110-PSWT</x:v>
      </x:c>
      <x:c r="B5" s="13" t="str">
        <x:v>nuisance</x:v>
      </x:c>
      <x:c r="C5" s="13" t="str">
        <x:v>Real PDF</x:v>
      </x:c>
      <x:c r="D5" s="13" t="str">
        <x:v>KP-25-110-PSWT</x:v>
      </x:c>
      <x:c r="E5" s="13" t="str">
        <x:v>Criminal</x:v>
      </x:c>
      <x:c r="F5" s="13" t="str">
        <x:v>Nakakaperwisyong ingay at amoy ng manok</x:v>
      </x:c>
      <x:c r="G5" s="13" t="str">
        <x:v>December 12, 2025</x:v>
      </x:c>
      <x:c r="H5" s="13" t="str">
        <x:v>-</x:v>
      </x:c>
      <x:c r="I5" s="13" t="str">
        <x:v>Nagkaroon ng unang paghaharap subalit sa pangalawa at pangatlong paghaharap ay hindi na dumating ang maysumbong.</x:v>
      </x:c>
      <x:c r="J5" s="13" t="str">
        <x:v>Dismiss</x:v>
      </x:c>
      <x:c r="K5" s="13" t="str">
        <x:v>KP_COVERED_AMICABLE</x:v>
      </x:c>
      <x:c r="L5" s="13" t="str">
        <x:v>Eligible for KP screening</x:v>
      </x:c>
      <x:c r="M5" s="13" t="str">
        <x:v>Proceed to barangay conciliation / mediation screening</x:v>
      </x:c>
      <x:c r="N5" s="13" t="str">
        <x:v>Neighbor nuisance issue suitable for barangay mediation if no disqualifying facts are present.</x:v>
      </x:c>
      <x:c r="O5" s="13" t="str"/>
      <x:c r="P5" s="13" t="str">
        <x:v>Nakakaperwisyong ingay at amoy ng manok</x:v>
      </x:c>
      <x:c r="Q5" s="13" t="str"/>
      <x:c r="R5" s="13" t="str">
        <x:v>KP CASE PSWT - Sheet1 - KP CASE PSWT - Sheet1.pdf</x:v>
      </x:c>
    </x:row>
    <x:row r="6" ht="36" customHeight="1">
      <x:c r="A6" s="13" t="str">
        <x:v>SYN-NUIS-001</x:v>
      </x:c>
      <x:c r="B6" s="13" t="str">
        <x:v>nuisance</x:v>
      </x:c>
      <x:c r="C6" s="13" t="str">
        <x:v>Synthetic</x:v>
      </x:c>
      <x:c r="D6" s="13" t="str"/>
      <x:c r="E6" s="13" t="str">
        <x:v>Civil</x:v>
      </x:c>
      <x:c r="F6" s="13" t="str">
        <x:v>Reklamo sa malakas na videoke tuwing gabi</x:v>
      </x:c>
      <x:c r="G6" s="13" t="str">
        <x:v>January 5, 2026</x:v>
      </x:c>
      <x:c r="H6" s="13" t="str">
        <x:v>-</x:v>
      </x:c>
      <x:c r="I6" s="13" t="str">
        <x:v>Synthetic example: parties are neighbors/residents; no prior court filing stated; for barangay mediation eligibility screening.</x:v>
      </x:c>
      <x:c r="J6" s="13" t="str">
        <x:v>For Mediation</x:v>
      </x:c>
      <x:c r="K6" s="13" t="str">
        <x:v>KP_COVERED_AMICABLE</x:v>
      </x:c>
      <x:c r="L6" s="13" t="str">
        <x:v>Eligible for KP screening</x:v>
      </x:c>
      <x:c r="M6" s="13" t="str">
        <x:v>Proceed to barangay conciliation / mediation screening</x:v>
      </x:c>
      <x:c r="N6" s="13" t="str">
        <x:v>Local neighbor nuisance dispute.</x:v>
      </x:c>
      <x:c r="O6" s="13" t="str"/>
      <x:c r="P6" s="13" t="str">
        <x:v>Reklamo sa malakas na videoke tuwing gabi</x:v>
      </x:c>
      <x:c r="Q6" s="13" t="str">
        <x:v>Added to balance 'nuisance' to 49 examples using the same Justice KP label schema.</x:v>
      </x:c>
      <x:c r="R6" s="13" t="str">
        <x:v>Synthetic row based on category coverage gap from uploaded PDF</x:v>
      </x:c>
    </x:row>
    <x:row r="7" ht="36" customHeight="1">
      <x:c r="A7" s="13" t="str">
        <x:v>SYN-NUIS-002</x:v>
      </x:c>
      <x:c r="B7" s="13" t="str">
        <x:v>nuisance</x:v>
      </x:c>
      <x:c r="C7" s="13" t="str">
        <x:v>Synthetic</x:v>
      </x:c>
      <x:c r="D7" s="13" t="str"/>
      <x:c r="E7" s="13" t="str">
        <x:v>Civil</x:v>
      </x:c>
      <x:c r="F7" s="13" t="str">
        <x:v>Pag-iingay ng motorsiklo sa dis-oras ng gabi</x:v>
      </x:c>
      <x:c r="G7" s="13" t="str">
        <x:v>January 8, 2026</x:v>
      </x:c>
      <x:c r="H7" s="13" t="str">
        <x:v>-</x:v>
      </x:c>
      <x:c r="I7" s="13" t="str">
        <x:v>Synthetic example: parties are neighbors/residents; no prior court filing stated; for barangay mediation eligibility screening.</x:v>
      </x:c>
      <x:c r="J7" s="13" t="str">
        <x:v>For Mediation</x:v>
      </x:c>
      <x:c r="K7" s="13" t="str">
        <x:v>KP_COVERED_AMICABLE</x:v>
      </x:c>
      <x:c r="L7" s="13" t="str">
        <x:v>Eligible for KP screening</x:v>
      </x:c>
      <x:c r="M7" s="13" t="str">
        <x:v>Proceed to barangay conciliation / mediation screening</x:v>
      </x:c>
      <x:c r="N7" s="13" t="str">
        <x:v>Local neighbor nuisance dispute.</x:v>
      </x:c>
      <x:c r="O7" s="13" t="str"/>
      <x:c r="P7" s="13" t="str">
        <x:v>Pag-iingay ng motorsiklo sa dis-oras ng gabi</x:v>
      </x:c>
      <x:c r="Q7" s="13" t="str">
        <x:v>Added to balance 'nuisance' to 49 examples using the same Justice KP label schema.</x:v>
      </x:c>
      <x:c r="R7" s="13" t="str">
        <x:v>Synthetic row based on category coverage gap from uploaded PDF</x:v>
      </x:c>
    </x:row>
    <x:row r="8" ht="36" customHeight="1">
      <x:c r="A8" s="13" t="str">
        <x:v>SYN-NUIS-003</x:v>
      </x:c>
      <x:c r="B8" s="13" t="str">
        <x:v>nuisance</x:v>
      </x:c>
      <x:c r="C8" s="13" t="str">
        <x:v>Synthetic</x:v>
      </x:c>
      <x:c r="D8" s="13" t="str"/>
      <x:c r="E8" s="13" t="str">
        <x:v>Civil</x:v>
      </x:c>
      <x:c r="F8" s="13" t="str">
        <x:v>Amoy ng kulungan ng manok na nakakaistorbo sa kapitbahay</x:v>
      </x:c>
      <x:c r="G8" s="13" t="str">
        <x:v>January 11, 2026</x:v>
      </x:c>
      <x:c r="H8" s="13" t="str">
        <x:v>-</x:v>
      </x:c>
      <x:c r="I8" s="13" t="str">
        <x:v>Synthetic example: parties are neighbors/residents; no prior court filing stated; for barangay mediation eligibility screening.</x:v>
      </x:c>
      <x:c r="J8" s="13" t="str">
        <x:v>For Mediation</x:v>
      </x:c>
      <x:c r="K8" s="13" t="str">
        <x:v>KP_COVERED_AMICABLE</x:v>
      </x:c>
      <x:c r="L8" s="13" t="str">
        <x:v>Eligible for KP screening</x:v>
      </x:c>
      <x:c r="M8" s="13" t="str">
        <x:v>Proceed to barangay conciliation / mediation screening</x:v>
      </x:c>
      <x:c r="N8" s="13" t="str">
        <x:v>Local neighbor nuisance dispute.</x:v>
      </x:c>
      <x:c r="O8" s="13" t="str"/>
      <x:c r="P8" s="13" t="str">
        <x:v>Amoy ng kulungan ng manok na nakakaistorbo sa kapitbahay</x:v>
      </x:c>
      <x:c r="Q8" s="13" t="str">
        <x:v>Added to balance 'nuisance' to 49 examples using the same Justice KP label schema.</x:v>
      </x:c>
      <x:c r="R8" s="13" t="str">
        <x:v>Synthetic row based on category coverage gap from uploaded PDF</x:v>
      </x:c>
    </x:row>
    <x:row r="9" ht="36" customHeight="1">
      <x:c r="A9" s="13" t="str">
        <x:v>SYN-NUIS-004</x:v>
      </x:c>
      <x:c r="B9" s="13" t="str">
        <x:v>nuisance</x:v>
      </x:c>
      <x:c r="C9" s="13" t="str">
        <x:v>Synthetic</x:v>
      </x:c>
      <x:c r="D9" s="13" t="str"/>
      <x:c r="E9" s="13" t="str">
        <x:v>Civil</x:v>
      </x:c>
      <x:c r="F9" s="13" t="str">
        <x:v>Usok mula sa sinusunog na basura sa tabi ng bahay</x:v>
      </x:c>
      <x:c r="G9" s="13" t="str">
        <x:v>January 14, 2026</x:v>
      </x:c>
      <x:c r="H9" s="13" t="str">
        <x:v>-</x:v>
      </x:c>
      <x:c r="I9" s="13" t="str">
        <x:v>Synthetic example: parties are neighbors/residents; no prior court filing stated; for barangay mediation eligibility screening.</x:v>
      </x:c>
      <x:c r="J9" s="13" t="str">
        <x:v>For Mediation</x:v>
      </x:c>
      <x:c r="K9" s="13" t="str">
        <x:v>KP_COVERED_AMICABLE</x:v>
      </x:c>
      <x:c r="L9" s="13" t="str">
        <x:v>Eligible for KP screening</x:v>
      </x:c>
      <x:c r="M9" s="13" t="str">
        <x:v>Proceed to barangay conciliation / mediation screening</x:v>
      </x:c>
      <x:c r="N9" s="13" t="str">
        <x:v>Local neighbor nuisance dispute.</x:v>
      </x:c>
      <x:c r="O9" s="13" t="str"/>
      <x:c r="P9" s="13" t="str">
        <x:v>Usok mula sa sinusunog na basura sa tabi ng bahay</x:v>
      </x:c>
      <x:c r="Q9" s="13" t="str">
        <x:v>Added to balance 'nuisance' to 49 examples using the same Justice KP label schema.</x:v>
      </x:c>
      <x:c r="R9" s="13" t="str">
        <x:v>Synthetic row based on category coverage gap from uploaded PDF</x:v>
      </x:c>
    </x:row>
    <x:row r="10" ht="36" customHeight="1">
      <x:c r="A10" s="13" t="str">
        <x:v>SYN-NUIS-005</x:v>
      </x:c>
      <x:c r="B10" s="13" t="str">
        <x:v>nuisance</x:v>
      </x:c>
      <x:c r="C10" s="13" t="str">
        <x:v>Synthetic</x:v>
      </x:c>
      <x:c r="D10" s="13" t="str"/>
      <x:c r="E10" s="13" t="str">
        <x:v>Civil</x:v>
      </x:c>
      <x:c r="F10" s="13" t="str">
        <x:v>Pagparada ng sasakyan na nakaharang sa daanan</x:v>
      </x:c>
      <x:c r="G10" s="13" t="str">
        <x:v>January 17, 2026</x:v>
      </x:c>
      <x:c r="H10" s="13" t="str">
        <x:v>-</x:v>
      </x:c>
      <x:c r="I10" s="13" t="str">
        <x:v>Synthetic example: parties are neighbors/residents; no prior court filing stated; for barangay mediation eligibility screening.</x:v>
      </x:c>
      <x:c r="J10" s="13" t="str">
        <x:v>For Mediation</x:v>
      </x:c>
      <x:c r="K10" s="13" t="str">
        <x:v>KP_COVERED_AMICABLE</x:v>
      </x:c>
      <x:c r="L10" s="13" t="str">
        <x:v>Eligible for KP screening</x:v>
      </x:c>
      <x:c r="M10" s="13" t="str">
        <x:v>Proceed to barangay conciliation / mediation screening</x:v>
      </x:c>
      <x:c r="N10" s="13" t="str">
        <x:v>Local neighbor nuisance dispute.</x:v>
      </x:c>
      <x:c r="O10" s="13" t="str"/>
      <x:c r="P10" s="13" t="str">
        <x:v>Pagparada ng sasakyan na nakaharang sa daanan</x:v>
      </x:c>
      <x:c r="Q10" s="13" t="str">
        <x:v>Added to balance 'nuisance' to 49 examples using the same Justice KP label schema.</x:v>
      </x:c>
      <x:c r="R10" s="13" t="str">
        <x:v>Synthetic row based on category coverage gap from uploaded PDF</x:v>
      </x:c>
    </x:row>
    <x:row r="11" ht="36" customHeight="1">
      <x:c r="A11" s="13" t="str">
        <x:v>SYN-NUIS-006</x:v>
      </x:c>
      <x:c r="B11" s="13" t="str">
        <x:v>nuisance</x:v>
      </x:c>
      <x:c r="C11" s="13" t="str">
        <x:v>Synthetic</x:v>
      </x:c>
      <x:c r="D11" s="13" t="str"/>
      <x:c r="E11" s="13" t="str">
        <x:v>Civil</x:v>
      </x:c>
      <x:c r="F11" s="13" t="str">
        <x:v>Malakas na makina ng maliit na gawaan sa residential area</x:v>
      </x:c>
      <x:c r="G11" s="13" t="str">
        <x:v>January 20, 2026</x:v>
      </x:c>
      <x:c r="H11" s="13" t="str">
        <x:v>-</x:v>
      </x:c>
      <x:c r="I11" s="13" t="str">
        <x:v>Synthetic example: parties are neighbors/residents; no prior court filing stated; for barangay mediation eligibility screening.</x:v>
      </x:c>
      <x:c r="J11" s="13" t="str">
        <x:v>For Mediation</x:v>
      </x:c>
      <x:c r="K11" s="13" t="str">
        <x:v>KP_COVERED_AMICABLE</x:v>
      </x:c>
      <x:c r="L11" s="13" t="str">
        <x:v>Eligible for KP screening</x:v>
      </x:c>
      <x:c r="M11" s="13" t="str">
        <x:v>Proceed to barangay conciliation / mediation screening</x:v>
      </x:c>
      <x:c r="N11" s="13" t="str">
        <x:v>Local neighbor nuisance dispute.</x:v>
      </x:c>
      <x:c r="O11" s="13" t="str"/>
      <x:c r="P11" s="13" t="str">
        <x:v>Malakas na makina ng maliit na gawaan sa residential area</x:v>
      </x:c>
      <x:c r="Q11" s="13" t="str">
        <x:v>Added to balance 'nuisance' to 49 examples using the same Justice KP label schema.</x:v>
      </x:c>
      <x:c r="R11" s="13" t="str">
        <x:v>Synthetic row based on category coverage gap from uploaded PDF</x:v>
      </x:c>
    </x:row>
    <x:row r="12" ht="36" customHeight="1">
      <x:c r="A12" s="13" t="str">
        <x:v>SYN-NUIS-007</x:v>
      </x:c>
      <x:c r="B12" s="13" t="str">
        <x:v>nuisance</x:v>
      </x:c>
      <x:c r="C12" s="13" t="str">
        <x:v>Synthetic</x:v>
      </x:c>
      <x:c r="D12" s="13" t="str"/>
      <x:c r="E12" s="13" t="str">
        <x:v>Civil</x:v>
      </x:c>
      <x:c r="F12" s="13" t="str">
        <x:v>Pagkalat ng basura sa harap ng bahay ng kapitbahay</x:v>
      </x:c>
      <x:c r="G12" s="13" t="str">
        <x:v>January 23, 2026</x:v>
      </x:c>
      <x:c r="H12" s="13" t="str">
        <x:v>-</x:v>
      </x:c>
      <x:c r="I12" s="13" t="str">
        <x:v>Synthetic example: parties are neighbors/residents; no prior court filing stated; for barangay mediation eligibility screening.</x:v>
      </x:c>
      <x:c r="J12" s="13" t="str">
        <x:v>For Mediation</x:v>
      </x:c>
      <x:c r="K12" s="13" t="str">
        <x:v>KP_COVERED_AMICABLE</x:v>
      </x:c>
      <x:c r="L12" s="13" t="str">
        <x:v>Eligible for KP screening</x:v>
      </x:c>
      <x:c r="M12" s="13" t="str">
        <x:v>Proceed to barangay conciliation / mediation screening</x:v>
      </x:c>
      <x:c r="N12" s="13" t="str">
        <x:v>Local neighbor nuisance dispute.</x:v>
      </x:c>
      <x:c r="O12" s="13" t="str"/>
      <x:c r="P12" s="13" t="str">
        <x:v>Pagkalat ng basura sa harap ng bahay ng kapitbahay</x:v>
      </x:c>
      <x:c r="Q12" s="13" t="str">
        <x:v>Added to balance 'nuisance' to 49 examples using the same Justice KP label schema.</x:v>
      </x:c>
      <x:c r="R12" s="13" t="str">
        <x:v>Synthetic row based on category coverage gap from uploaded PDF</x:v>
      </x:c>
    </x:row>
    <x:row r="13" ht="36" customHeight="1">
      <x:c r="A13" s="13" t="str">
        <x:v>SYN-NUIS-008</x:v>
      </x:c>
      <x:c r="B13" s="13" t="str">
        <x:v>nuisance</x:v>
      </x:c>
      <x:c r="C13" s="13" t="str">
        <x:v>Synthetic</x:v>
      </x:c>
      <x:c r="D13" s="13" t="str"/>
      <x:c r="E13" s="13" t="str">
        <x:v>Civil</x:v>
      </x:c>
      <x:c r="F13" s="13" t="str">
        <x:v>Tubig at putik na umaagos mula sa tindahan papunta sa bahay</x:v>
      </x:c>
      <x:c r="G13" s="13" t="str">
        <x:v>January 26, 2026</x:v>
      </x:c>
      <x:c r="H13" s="13" t="str">
        <x:v>-</x:v>
      </x:c>
      <x:c r="I13" s="13" t="str">
        <x:v>Synthetic example: parties are neighbors/residents; no prior court filing stated; for barangay mediation eligibility screening.</x:v>
      </x:c>
      <x:c r="J13" s="13" t="str">
        <x:v>For Mediation</x:v>
      </x:c>
      <x:c r="K13" s="13" t="str">
        <x:v>KP_COVERED_AMICABLE</x:v>
      </x:c>
      <x:c r="L13" s="13" t="str">
        <x:v>Eligible for KP screening</x:v>
      </x:c>
      <x:c r="M13" s="13" t="str">
        <x:v>Proceed to barangay conciliation / mediation screening</x:v>
      </x:c>
      <x:c r="N13" s="13" t="str">
        <x:v>Local neighbor nuisance dispute.</x:v>
      </x:c>
      <x:c r="O13" s="13" t="str"/>
      <x:c r="P13" s="13" t="str">
        <x:v>Tubig at putik na umaagos mula sa tindahan papunta sa bahay</x:v>
      </x:c>
      <x:c r="Q13" s="13" t="str">
        <x:v>Added to balance 'nuisance' to 49 examples using the same Justice KP label schema.</x:v>
      </x:c>
      <x:c r="R13" s="13" t="str">
        <x:v>Synthetic row based on category coverage gap from uploaded PDF</x:v>
      </x:c>
    </x:row>
    <x:row r="14" ht="36" customHeight="1">
      <x:c r="A14" s="13" t="str">
        <x:v>SYN-NUIS-009</x:v>
      </x:c>
      <x:c r="B14" s="13" t="str">
        <x:v>nuisance</x:v>
      </x:c>
      <x:c r="C14" s="13" t="str">
        <x:v>Synthetic</x:v>
      </x:c>
      <x:c r="D14" s="13" t="str"/>
      <x:c r="E14" s="13" t="str">
        <x:v>Civil</x:v>
      </x:c>
      <x:c r="F14" s="13" t="str">
        <x:v>Tahol ng aso sa madaling araw na nagiging istorbo</x:v>
      </x:c>
      <x:c r="G14" s="13" t="str">
        <x:v>January 29, 2026</x:v>
      </x:c>
      <x:c r="H14" s="13" t="str">
        <x:v>-</x:v>
      </x:c>
      <x:c r="I14" s="13" t="str">
        <x:v>Synthetic example: parties are neighbors/residents; no prior court filing stated; for barangay mediation eligibility screening.</x:v>
      </x:c>
      <x:c r="J14" s="13" t="str">
        <x:v>For Mediation</x:v>
      </x:c>
      <x:c r="K14" s="13" t="str">
        <x:v>KP_COVERED_AMICABLE</x:v>
      </x:c>
      <x:c r="L14" s="13" t="str">
        <x:v>Eligible for KP screening</x:v>
      </x:c>
      <x:c r="M14" s="13" t="str">
        <x:v>Proceed to barangay conciliation / mediation screening</x:v>
      </x:c>
      <x:c r="N14" s="13" t="str">
        <x:v>Local neighbor nuisance dispute.</x:v>
      </x:c>
      <x:c r="O14" s="13" t="str"/>
      <x:c r="P14" s="13" t="str">
        <x:v>Tahol ng aso sa madaling araw na nagiging istorbo</x:v>
      </x:c>
      <x:c r="Q14" s="13" t="str">
        <x:v>Added to balance 'nuisance' to 49 examples using the same Justice KP label schema.</x:v>
      </x:c>
      <x:c r="R14" s="13" t="str">
        <x:v>Synthetic row based on category coverage gap from uploaded PDF</x:v>
      </x:c>
    </x:row>
    <x:row r="15" ht="36" customHeight="1">
      <x:c r="A15" s="13" t="str">
        <x:v>SYN-NUIS-010</x:v>
      </x:c>
      <x:c r="B15" s="13" t="str">
        <x:v>nuisance</x:v>
      </x:c>
      <x:c r="C15" s="13" t="str">
        <x:v>Synthetic</x:v>
      </x:c>
      <x:c r="D15" s="13" t="str"/>
      <x:c r="E15" s="13" t="str">
        <x:v>Civil</x:v>
      </x:c>
      <x:c r="F15" s="13" t="str">
        <x:v>Pag-iinom at pagsisigawan sa labas ng bahay tuwing gabi</x:v>
      </x:c>
      <x:c r="G15" s="13" t="str">
        <x:v>February 1, 2026</x:v>
      </x:c>
      <x:c r="H15" s="13" t="str">
        <x:v>-</x:v>
      </x:c>
      <x:c r="I15" s="13" t="str">
        <x:v>Synthetic example: parties are neighbors/residents; no prior court filing stated; for barangay mediation eligibility screening.</x:v>
      </x:c>
      <x:c r="J15" s="13" t="str">
        <x:v>For Mediation</x:v>
      </x:c>
      <x:c r="K15" s="13" t="str">
        <x:v>KP_COVERED_AMICABLE</x:v>
      </x:c>
      <x:c r="L15" s="13" t="str">
        <x:v>Eligible for KP screening</x:v>
      </x:c>
      <x:c r="M15" s="13" t="str">
        <x:v>Proceed to barangay conciliation / mediation screening</x:v>
      </x:c>
      <x:c r="N15" s="13" t="str">
        <x:v>Local neighbor nuisance dispute.</x:v>
      </x:c>
      <x:c r="O15" s="13" t="str"/>
      <x:c r="P15" s="13" t="str">
        <x:v>Pag-iinom at pagsisigawan sa labas ng bahay tuwing gabi</x:v>
      </x:c>
      <x:c r="Q15" s="13" t="str">
        <x:v>Added to balance 'nuisance' to 49 examples using the same Justice KP label schema.</x:v>
      </x:c>
      <x:c r="R15" s="13" t="str">
        <x:v>Synthetic row based on category coverage gap from uploaded PDF</x:v>
      </x:c>
    </x:row>
    <x:row r="16" ht="36" customHeight="1">
      <x:c r="A16" s="13" t="str">
        <x:v>SYN-NUIS-011</x:v>
      </x:c>
      <x:c r="B16" s="13" t="str">
        <x:v>nuisance</x:v>
      </x:c>
      <x:c r="C16" s="13" t="str">
        <x:v>Synthetic</x:v>
      </x:c>
      <x:c r="D16" s="13" t="str"/>
      <x:c r="E16" s="13" t="str">
        <x:v>Civil</x:v>
      </x:c>
      <x:c r="F16" s="13" t="str">
        <x:v>Reklamo sa malakas na videoke tuwing gabi</x:v>
      </x:c>
      <x:c r="G16" s="13" t="str">
        <x:v>February 4, 2026</x:v>
      </x:c>
      <x:c r="H16" s="13" t="str">
        <x:v>-</x:v>
      </x:c>
      <x:c r="I16" s="13" t="str">
        <x:v>Synthetic example: parties are neighbors/residents; no prior court filing stated; for barangay mediation eligibility screening.</x:v>
      </x:c>
      <x:c r="J16" s="13" t="str">
        <x:v>For Mediation</x:v>
      </x:c>
      <x:c r="K16" s="13" t="str">
        <x:v>KP_COVERED_AMICABLE</x:v>
      </x:c>
      <x:c r="L16" s="13" t="str">
        <x:v>Eligible for KP screening</x:v>
      </x:c>
      <x:c r="M16" s="13" t="str">
        <x:v>Proceed to barangay conciliation / mediation screening</x:v>
      </x:c>
      <x:c r="N16" s="13" t="str">
        <x:v>Local neighbor nuisance dispute.</x:v>
      </x:c>
      <x:c r="O16" s="13" t="str"/>
      <x:c r="P16" s="13" t="str">
        <x:v>Reklamo sa malakas na videoke tuwing gabi</x:v>
      </x:c>
      <x:c r="Q16" s="13" t="str">
        <x:v>Added to balance 'nuisance' to 49 examples using the same Justice KP label schema.</x:v>
      </x:c>
      <x:c r="R16" s="13" t="str">
        <x:v>Synthetic row based on category coverage gap from uploaded PDF</x:v>
      </x:c>
    </x:row>
    <x:row r="17" ht="36" customHeight="1">
      <x:c r="A17" s="13" t="str">
        <x:v>SYN-NUIS-012</x:v>
      </x:c>
      <x:c r="B17" s="13" t="str">
        <x:v>nuisance</x:v>
      </x:c>
      <x:c r="C17" s="13" t="str">
        <x:v>Synthetic</x:v>
      </x:c>
      <x:c r="D17" s="13" t="str"/>
      <x:c r="E17" s="13" t="str">
        <x:v>Civil</x:v>
      </x:c>
      <x:c r="F17" s="13" t="str">
        <x:v>Pag-iingay ng motorsiklo sa dis-oras ng gabi</x:v>
      </x:c>
      <x:c r="G17" s="13" t="str">
        <x:v>February 7, 2026</x:v>
      </x:c>
      <x:c r="H17" s="13" t="str">
        <x:v>-</x:v>
      </x:c>
      <x:c r="I17" s="13" t="str">
        <x:v>Synthetic example: parties are neighbors/residents; no prior court filing stated; for barangay mediation eligibility screening.</x:v>
      </x:c>
      <x:c r="J17" s="13" t="str">
        <x:v>For Mediation</x:v>
      </x:c>
      <x:c r="K17" s="13" t="str">
        <x:v>KP_COVERED_AMICABLE</x:v>
      </x:c>
      <x:c r="L17" s="13" t="str">
        <x:v>Eligible for KP screening</x:v>
      </x:c>
      <x:c r="M17" s="13" t="str">
        <x:v>Proceed to barangay conciliation / mediation screening</x:v>
      </x:c>
      <x:c r="N17" s="13" t="str">
        <x:v>Local neighbor nuisance dispute.</x:v>
      </x:c>
      <x:c r="O17" s="13" t="str"/>
      <x:c r="P17" s="13" t="str">
        <x:v>Pag-iingay ng motorsiklo sa dis-oras ng gabi</x:v>
      </x:c>
      <x:c r="Q17" s="13" t="str">
        <x:v>Added to balance 'nuisance' to 49 examples using the same Justice KP label schema.</x:v>
      </x:c>
      <x:c r="R17" s="13" t="str">
        <x:v>Synthetic row based on category coverage gap from uploaded PDF</x:v>
      </x:c>
    </x:row>
    <x:row r="18" ht="36" customHeight="1">
      <x:c r="A18" s="13" t="str">
        <x:v>SYN-NUIS-013</x:v>
      </x:c>
      <x:c r="B18" s="13" t="str">
        <x:v>nuisance</x:v>
      </x:c>
      <x:c r="C18" s="13" t="str">
        <x:v>Synthetic</x:v>
      </x:c>
      <x:c r="D18" s="13" t="str"/>
      <x:c r="E18" s="13" t="str">
        <x:v>Civil</x:v>
      </x:c>
      <x:c r="F18" s="13" t="str">
        <x:v>Amoy ng kulungan ng manok na nakakaistorbo sa kapitbahay</x:v>
      </x:c>
      <x:c r="G18" s="13" t="str">
        <x:v>February 10, 2026</x:v>
      </x:c>
      <x:c r="H18" s="13" t="str">
        <x:v>-</x:v>
      </x:c>
      <x:c r="I18" s="13" t="str">
        <x:v>Synthetic example: parties are neighbors/residents; no prior court filing stated; for barangay mediation eligibility screening.</x:v>
      </x:c>
      <x:c r="J18" s="13" t="str">
        <x:v>For Mediation</x:v>
      </x:c>
      <x:c r="K18" s="13" t="str">
        <x:v>KP_COVERED_AMICABLE</x:v>
      </x:c>
      <x:c r="L18" s="13" t="str">
        <x:v>Eligible for KP screening</x:v>
      </x:c>
      <x:c r="M18" s="13" t="str">
        <x:v>Proceed to barangay conciliation / mediation screening</x:v>
      </x:c>
      <x:c r="N18" s="13" t="str">
        <x:v>Local neighbor nuisance dispute.</x:v>
      </x:c>
      <x:c r="O18" s="13" t="str"/>
      <x:c r="P18" s="13" t="str">
        <x:v>Amoy ng kulungan ng manok na nakakaistorbo sa kapitbahay</x:v>
      </x:c>
      <x:c r="Q18" s="13" t="str">
        <x:v>Added to balance 'nuisance' to 49 examples using the same Justice KP label schema.</x:v>
      </x:c>
      <x:c r="R18" s="13" t="str">
        <x:v>Synthetic row based on category coverage gap from uploaded PDF</x:v>
      </x:c>
    </x:row>
    <x:row r="19" ht="36" customHeight="1">
      <x:c r="A19" s="13" t="str">
        <x:v>SYN-NUIS-014</x:v>
      </x:c>
      <x:c r="B19" s="13" t="str">
        <x:v>nuisance</x:v>
      </x:c>
      <x:c r="C19" s="13" t="str">
        <x:v>Synthetic</x:v>
      </x:c>
      <x:c r="D19" s="13" t="str"/>
      <x:c r="E19" s="13" t="str">
        <x:v>Civil</x:v>
      </x:c>
      <x:c r="F19" s="13" t="str">
        <x:v>Usok mula sa sinusunog na basura sa tabi ng bahay</x:v>
      </x:c>
      <x:c r="G19" s="13" t="str">
        <x:v>February 13, 2026</x:v>
      </x:c>
      <x:c r="H19" s="13" t="str">
        <x:v>-</x:v>
      </x:c>
      <x:c r="I19" s="13" t="str">
        <x:v>Synthetic example: parties are neighbors/residents; no prior court filing stated; for barangay mediation eligibility screening.</x:v>
      </x:c>
      <x:c r="J19" s="13" t="str">
        <x:v>For Mediation</x:v>
      </x:c>
      <x:c r="K19" s="13" t="str">
        <x:v>KP_COVERED_AMICABLE</x:v>
      </x:c>
      <x:c r="L19" s="13" t="str">
        <x:v>Eligible for KP screening</x:v>
      </x:c>
      <x:c r="M19" s="13" t="str">
        <x:v>Proceed to barangay conciliation / mediation screening</x:v>
      </x:c>
      <x:c r="N19" s="13" t="str">
        <x:v>Local neighbor nuisance dispute.</x:v>
      </x:c>
      <x:c r="O19" s="13" t="str"/>
      <x:c r="P19" s="13" t="str">
        <x:v>Usok mula sa sinusunog na basura sa tabi ng bahay</x:v>
      </x:c>
      <x:c r="Q19" s="13" t="str">
        <x:v>Added to balance 'nuisance' to 49 examples using the same Justice KP label schema.</x:v>
      </x:c>
      <x:c r="R19" s="13" t="str">
        <x:v>Synthetic row based on category coverage gap from uploaded PDF</x:v>
      </x:c>
    </x:row>
    <x:row r="20" ht="36" customHeight="1">
      <x:c r="A20" s="13" t="str">
        <x:v>SYN-NUIS-015</x:v>
      </x:c>
      <x:c r="B20" s="13" t="str">
        <x:v>nuisance</x:v>
      </x:c>
      <x:c r="C20" s="13" t="str">
        <x:v>Synthetic</x:v>
      </x:c>
      <x:c r="D20" s="13" t="str"/>
      <x:c r="E20" s="13" t="str">
        <x:v>Civil</x:v>
      </x:c>
      <x:c r="F20" s="13" t="str">
        <x:v>Pagparada ng sasakyan na nakaharang sa daanan</x:v>
      </x:c>
      <x:c r="G20" s="13" t="str">
        <x:v>February 16, 2026</x:v>
      </x:c>
      <x:c r="H20" s="13" t="str">
        <x:v>-</x:v>
      </x:c>
      <x:c r="I20" s="13" t="str">
        <x:v>Synthetic example: parties are neighbors/residents; no prior court filing stated; for barangay mediation eligibility screening.</x:v>
      </x:c>
      <x:c r="J20" s="13" t="str">
        <x:v>For Mediation</x:v>
      </x:c>
      <x:c r="K20" s="13" t="str">
        <x:v>KP_COVERED_AMICABLE</x:v>
      </x:c>
      <x:c r="L20" s="13" t="str">
        <x:v>Eligible for KP screening</x:v>
      </x:c>
      <x:c r="M20" s="13" t="str">
        <x:v>Proceed to barangay conciliation / mediation screening</x:v>
      </x:c>
      <x:c r="N20" s="13" t="str">
        <x:v>Local neighbor nuisance dispute.</x:v>
      </x:c>
      <x:c r="O20" s="13" t="str"/>
      <x:c r="P20" s="13" t="str">
        <x:v>Pagparada ng sasakyan na nakaharang sa daanan</x:v>
      </x:c>
      <x:c r="Q20" s="13" t="str">
        <x:v>Added to balance 'nuisance' to 49 examples using the same Justice KP label schema.</x:v>
      </x:c>
      <x:c r="R20" s="13" t="str">
        <x:v>Synthetic row based on category coverage gap from uploaded PDF</x:v>
      </x:c>
    </x:row>
    <x:row r="21" ht="36" customHeight="1">
      <x:c r="A21" s="13" t="str">
        <x:v>SYN-NUIS-016</x:v>
      </x:c>
      <x:c r="B21" s="13" t="str">
        <x:v>nuisance</x:v>
      </x:c>
      <x:c r="C21" s="13" t="str">
        <x:v>Synthetic</x:v>
      </x:c>
      <x:c r="D21" s="13" t="str"/>
      <x:c r="E21" s="13" t="str">
        <x:v>Civil</x:v>
      </x:c>
      <x:c r="F21" s="13" t="str">
        <x:v>Malakas na makina ng maliit na gawaan sa residential area</x:v>
      </x:c>
      <x:c r="G21" s="13" t="str">
        <x:v>February 19, 2026</x:v>
      </x:c>
      <x:c r="H21" s="13" t="str">
        <x:v>-</x:v>
      </x:c>
      <x:c r="I21" s="13" t="str">
        <x:v>Synthetic example: parties are neighbors/residents; no prior court filing stated; for barangay mediation eligibility screening.</x:v>
      </x:c>
      <x:c r="J21" s="13" t="str">
        <x:v>For Mediation</x:v>
      </x:c>
      <x:c r="K21" s="13" t="str">
        <x:v>KP_COVERED_AMICABLE</x:v>
      </x:c>
      <x:c r="L21" s="13" t="str">
        <x:v>Eligible for KP screening</x:v>
      </x:c>
      <x:c r="M21" s="13" t="str">
        <x:v>Proceed to barangay conciliation / mediation screening</x:v>
      </x:c>
      <x:c r="N21" s="13" t="str">
        <x:v>Local neighbor nuisance dispute.</x:v>
      </x:c>
      <x:c r="O21" s="13" t="str"/>
      <x:c r="P21" s="13" t="str">
        <x:v>Malakas na makina ng maliit na gawaan sa residential area</x:v>
      </x:c>
      <x:c r="Q21" s="13" t="str">
        <x:v>Added to balance 'nuisance' to 49 examples using the same Justice KP label schema.</x:v>
      </x:c>
      <x:c r="R21" s="13" t="str">
        <x:v>Synthetic row based on category coverage gap from uploaded PDF</x:v>
      </x:c>
    </x:row>
    <x:row r="22" ht="36" customHeight="1">
      <x:c r="A22" s="13" t="str">
        <x:v>SYN-NUIS-017</x:v>
      </x:c>
      <x:c r="B22" s="13" t="str">
        <x:v>nuisance</x:v>
      </x:c>
      <x:c r="C22" s="13" t="str">
        <x:v>Synthetic</x:v>
      </x:c>
      <x:c r="D22" s="13" t="str"/>
      <x:c r="E22" s="13" t="str">
        <x:v>Civil</x:v>
      </x:c>
      <x:c r="F22" s="13" t="str">
        <x:v>Pagkalat ng basura sa harap ng bahay ng kapitbahay</x:v>
      </x:c>
      <x:c r="G22" s="13" t="str">
        <x:v>February 22, 2026</x:v>
      </x:c>
      <x:c r="H22" s="13" t="str">
        <x:v>-</x:v>
      </x:c>
      <x:c r="I22" s="13" t="str">
        <x:v>Synthetic example: parties are neighbors/residents; no prior court filing stated; for barangay mediation eligibility screening.</x:v>
      </x:c>
      <x:c r="J22" s="13" t="str">
        <x:v>For Mediation</x:v>
      </x:c>
      <x:c r="K22" s="13" t="str">
        <x:v>KP_COVERED_AMICABLE</x:v>
      </x:c>
      <x:c r="L22" s="13" t="str">
        <x:v>Eligible for KP screening</x:v>
      </x:c>
      <x:c r="M22" s="13" t="str">
        <x:v>Proceed to barangay conciliation / mediation screening</x:v>
      </x:c>
      <x:c r="N22" s="13" t="str">
        <x:v>Local neighbor nuisance dispute.</x:v>
      </x:c>
      <x:c r="O22" s="13" t="str"/>
      <x:c r="P22" s="13" t="str">
        <x:v>Pagkalat ng basura sa harap ng bahay ng kapitbahay</x:v>
      </x:c>
      <x:c r="Q22" s="13" t="str">
        <x:v>Added to balance 'nuisance' to 49 examples using the same Justice KP label schema.</x:v>
      </x:c>
      <x:c r="R22" s="13" t="str">
        <x:v>Synthetic row based on category coverage gap from uploaded PDF</x:v>
      </x:c>
    </x:row>
    <x:row r="23" ht="36" customHeight="1">
      <x:c r="A23" s="13" t="str">
        <x:v>SYN-NUIS-018</x:v>
      </x:c>
      <x:c r="B23" s="13" t="str">
        <x:v>nuisance</x:v>
      </x:c>
      <x:c r="C23" s="13" t="str">
        <x:v>Synthetic</x:v>
      </x:c>
      <x:c r="D23" s="13" t="str"/>
      <x:c r="E23" s="13" t="str">
        <x:v>Civil</x:v>
      </x:c>
      <x:c r="F23" s="13" t="str">
        <x:v>Tubig at putik na umaagos mula sa tindahan papunta sa bahay</x:v>
      </x:c>
      <x:c r="G23" s="13" t="str">
        <x:v>February 25, 2026</x:v>
      </x:c>
      <x:c r="H23" s="13" t="str">
        <x:v>-</x:v>
      </x:c>
      <x:c r="I23" s="13" t="str">
        <x:v>Synthetic example: parties are neighbors/residents; no prior court filing stated; for barangay mediation eligibility screening.</x:v>
      </x:c>
      <x:c r="J23" s="13" t="str">
        <x:v>For Mediation</x:v>
      </x:c>
      <x:c r="K23" s="13" t="str">
        <x:v>KP_COVERED_AMICABLE</x:v>
      </x:c>
      <x:c r="L23" s="13" t="str">
        <x:v>Eligible for KP screening</x:v>
      </x:c>
      <x:c r="M23" s="13" t="str">
        <x:v>Proceed to barangay conciliation / mediation screening</x:v>
      </x:c>
      <x:c r="N23" s="13" t="str">
        <x:v>Local neighbor nuisance dispute.</x:v>
      </x:c>
      <x:c r="O23" s="13" t="str"/>
      <x:c r="P23" s="13" t="str">
        <x:v>Tubig at putik na umaagos mula sa tindahan papunta sa bahay</x:v>
      </x:c>
      <x:c r="Q23" s="13" t="str">
        <x:v>Added to balance 'nuisance' to 49 examples using the same Justice KP label schema.</x:v>
      </x:c>
      <x:c r="R23" s="13" t="str">
        <x:v>Synthetic row based on category coverage gap from uploaded PDF</x:v>
      </x:c>
    </x:row>
    <x:row r="24" ht="36" customHeight="1">
      <x:c r="A24" s="13" t="str">
        <x:v>SYN-NUIS-019</x:v>
      </x:c>
      <x:c r="B24" s="13" t="str">
        <x:v>nuisance</x:v>
      </x:c>
      <x:c r="C24" s="13" t="str">
        <x:v>Synthetic</x:v>
      </x:c>
      <x:c r="D24" s="13" t="str"/>
      <x:c r="E24" s="13" t="str">
        <x:v>Civil</x:v>
      </x:c>
      <x:c r="F24" s="13" t="str">
        <x:v>Tahol ng aso sa madaling araw na nagiging istorbo</x:v>
      </x:c>
      <x:c r="G24" s="13" t="str">
        <x:v>February 28, 2026</x:v>
      </x:c>
      <x:c r="H24" s="13" t="str">
        <x:v>-</x:v>
      </x:c>
      <x:c r="I24" s="13" t="str">
        <x:v>Synthetic example: parties are neighbors/residents; no prior court filing stated; for barangay mediation eligibility screening.</x:v>
      </x:c>
      <x:c r="J24" s="13" t="str">
        <x:v>For Mediation</x:v>
      </x:c>
      <x:c r="K24" s="13" t="str">
        <x:v>KP_COVERED_AMICABLE</x:v>
      </x:c>
      <x:c r="L24" s="13" t="str">
        <x:v>Eligible for KP screening</x:v>
      </x:c>
      <x:c r="M24" s="13" t="str">
        <x:v>Proceed to barangay conciliation / mediation screening</x:v>
      </x:c>
      <x:c r="N24" s="13" t="str">
        <x:v>Local neighbor nuisance dispute.</x:v>
      </x:c>
      <x:c r="O24" s="13" t="str"/>
      <x:c r="P24" s="13" t="str">
        <x:v>Tahol ng aso sa madaling araw na nagiging istorbo</x:v>
      </x:c>
      <x:c r="Q24" s="13" t="str">
        <x:v>Added to balance 'nuisance' to 49 examples using the same Justice KP label schema.</x:v>
      </x:c>
      <x:c r="R24" s="13" t="str">
        <x:v>Synthetic row based on category coverage gap from uploaded PDF</x:v>
      </x:c>
    </x:row>
    <x:row r="25" ht="36" customHeight="1">
      <x:c r="A25" s="13" t="str">
        <x:v>SYN-NUIS-020</x:v>
      </x:c>
      <x:c r="B25" s="13" t="str">
        <x:v>nuisance</x:v>
      </x:c>
      <x:c r="C25" s="13" t="str">
        <x:v>Synthetic</x:v>
      </x:c>
      <x:c r="D25" s="13" t="str"/>
      <x:c r="E25" s="13" t="str">
        <x:v>Civil</x:v>
      </x:c>
      <x:c r="F25" s="13" t="str">
        <x:v>Pag-iinom at pagsisigawan sa labas ng bahay tuwing gabi</x:v>
      </x:c>
      <x:c r="G25" s="13" t="str">
        <x:v>March 3, 2026</x:v>
      </x:c>
      <x:c r="H25" s="13" t="str">
        <x:v>-</x:v>
      </x:c>
      <x:c r="I25" s="13" t="str">
        <x:v>Synthetic example: parties are neighbors/residents; no prior court filing stated; for barangay mediation eligibility screening.</x:v>
      </x:c>
      <x:c r="J25" s="13" t="str">
        <x:v>For Mediation</x:v>
      </x:c>
      <x:c r="K25" s="13" t="str">
        <x:v>KP_COVERED_AMICABLE</x:v>
      </x:c>
      <x:c r="L25" s="13" t="str">
        <x:v>Eligible for KP screening</x:v>
      </x:c>
      <x:c r="M25" s="13" t="str">
        <x:v>Proceed to barangay conciliation / mediation screening</x:v>
      </x:c>
      <x:c r="N25" s="13" t="str">
        <x:v>Local neighbor nuisance dispute.</x:v>
      </x:c>
      <x:c r="O25" s="13" t="str"/>
      <x:c r="P25" s="13" t="str">
        <x:v>Pag-iinom at pagsisigawan sa labas ng bahay tuwing gabi</x:v>
      </x:c>
      <x:c r="Q25" s="13" t="str">
        <x:v>Added to balance 'nuisance' to 49 examples using the same Justice KP label schema.</x:v>
      </x:c>
      <x:c r="R25" s="13" t="str">
        <x:v>Synthetic row based on category coverage gap from uploaded PDF</x:v>
      </x:c>
    </x:row>
    <x:row r="26" ht="36" customHeight="1">
      <x:c r="A26" s="13" t="str">
        <x:v>SYN-NUIS-021</x:v>
      </x:c>
      <x:c r="B26" s="13" t="str">
        <x:v>nuisance</x:v>
      </x:c>
      <x:c r="C26" s="13" t="str">
        <x:v>Synthetic</x:v>
      </x:c>
      <x:c r="D26" s="13" t="str"/>
      <x:c r="E26" s="13" t="str">
        <x:v>Civil</x:v>
      </x:c>
      <x:c r="F26" s="13" t="str">
        <x:v>Reklamo sa malakas na videoke tuwing gabi</x:v>
      </x:c>
      <x:c r="G26" s="13" t="str">
        <x:v>March 6, 2026</x:v>
      </x:c>
      <x:c r="H26" s="13" t="str">
        <x:v>-</x:v>
      </x:c>
      <x:c r="I26" s="13" t="str">
        <x:v>Synthetic example: parties are neighbors/residents; no prior court filing stated; for barangay mediation eligibility screening.</x:v>
      </x:c>
      <x:c r="J26" s="13" t="str">
        <x:v>For Mediation</x:v>
      </x:c>
      <x:c r="K26" s="13" t="str">
        <x:v>KP_COVERED_AMICABLE</x:v>
      </x:c>
      <x:c r="L26" s="13" t="str">
        <x:v>Eligible for KP screening</x:v>
      </x:c>
      <x:c r="M26" s="13" t="str">
        <x:v>Proceed to barangay conciliation / mediation screening</x:v>
      </x:c>
      <x:c r="N26" s="13" t="str">
        <x:v>Local neighbor nuisance dispute.</x:v>
      </x:c>
      <x:c r="O26" s="13" t="str"/>
      <x:c r="P26" s="13" t="str">
        <x:v>Reklamo sa malakas na videoke tuwing gabi</x:v>
      </x:c>
      <x:c r="Q26" s="13" t="str">
        <x:v>Added to balance 'nuisance' to 49 examples using the same Justice KP label schema.</x:v>
      </x:c>
      <x:c r="R26" s="13" t="str">
        <x:v>Synthetic row based on category coverage gap from uploaded PDF</x:v>
      </x:c>
    </x:row>
    <x:row r="27" ht="36" customHeight="1">
      <x:c r="A27" s="13" t="str">
        <x:v>SYN-NUIS-022</x:v>
      </x:c>
      <x:c r="B27" s="13" t="str">
        <x:v>nuisance</x:v>
      </x:c>
      <x:c r="C27" s="13" t="str">
        <x:v>Synthetic</x:v>
      </x:c>
      <x:c r="D27" s="13" t="str"/>
      <x:c r="E27" s="13" t="str">
        <x:v>Civil</x:v>
      </x:c>
      <x:c r="F27" s="13" t="str">
        <x:v>Pag-iingay ng motorsiklo sa dis-oras ng gabi</x:v>
      </x:c>
      <x:c r="G27" s="13" t="str">
        <x:v>March 9, 2026</x:v>
      </x:c>
      <x:c r="H27" s="13" t="str">
        <x:v>-</x:v>
      </x:c>
      <x:c r="I27" s="13" t="str">
        <x:v>Synthetic example: parties are neighbors/residents; no prior court filing stated; for barangay mediation eligibility screening.</x:v>
      </x:c>
      <x:c r="J27" s="13" t="str">
        <x:v>For Mediation</x:v>
      </x:c>
      <x:c r="K27" s="13" t="str">
        <x:v>KP_COVERED_AMICABLE</x:v>
      </x:c>
      <x:c r="L27" s="13" t="str">
        <x:v>Eligible for KP screening</x:v>
      </x:c>
      <x:c r="M27" s="13" t="str">
        <x:v>Proceed to barangay conciliation / mediation screening</x:v>
      </x:c>
      <x:c r="N27" s="13" t="str">
        <x:v>Local neighbor nuisance dispute.</x:v>
      </x:c>
      <x:c r="O27" s="13" t="str"/>
      <x:c r="P27" s="13" t="str">
        <x:v>Pag-iingay ng motorsiklo sa dis-oras ng gabi</x:v>
      </x:c>
      <x:c r="Q27" s="13" t="str">
        <x:v>Added to balance 'nuisance' to 49 examples using the same Justice KP label schema.</x:v>
      </x:c>
      <x:c r="R27" s="13" t="str">
        <x:v>Synthetic row based on category coverage gap from uploaded PDF</x:v>
      </x:c>
    </x:row>
    <x:row r="28" ht="36" customHeight="1">
      <x:c r="A28" s="13" t="str">
        <x:v>SYN-NUIS-023</x:v>
      </x:c>
      <x:c r="B28" s="13" t="str">
        <x:v>nuisance</x:v>
      </x:c>
      <x:c r="C28" s="13" t="str">
        <x:v>Synthetic</x:v>
      </x:c>
      <x:c r="D28" s="13" t="str"/>
      <x:c r="E28" s="13" t="str">
        <x:v>Civil</x:v>
      </x:c>
      <x:c r="F28" s="13" t="str">
        <x:v>Amoy ng kulungan ng manok na nakakaistorbo sa kapitbahay</x:v>
      </x:c>
      <x:c r="G28" s="13" t="str">
        <x:v>March 12, 2026</x:v>
      </x:c>
      <x:c r="H28" s="13" t="str">
        <x:v>-</x:v>
      </x:c>
      <x:c r="I28" s="13" t="str">
        <x:v>Synthetic example: parties are neighbors/residents; no prior court filing stated; for barangay mediation eligibility screening.</x:v>
      </x:c>
      <x:c r="J28" s="13" t="str">
        <x:v>For Mediation</x:v>
      </x:c>
      <x:c r="K28" s="13" t="str">
        <x:v>KP_COVERED_AMICABLE</x:v>
      </x:c>
      <x:c r="L28" s="13" t="str">
        <x:v>Eligible for KP screening</x:v>
      </x:c>
      <x:c r="M28" s="13" t="str">
        <x:v>Proceed to barangay conciliation / mediation screening</x:v>
      </x:c>
      <x:c r="N28" s="13" t="str">
        <x:v>Local neighbor nuisance dispute.</x:v>
      </x:c>
      <x:c r="O28" s="13" t="str"/>
      <x:c r="P28" s="13" t="str">
        <x:v>Amoy ng kulungan ng manok na nakakaistorbo sa kapitbahay</x:v>
      </x:c>
      <x:c r="Q28" s="13" t="str">
        <x:v>Added to balance 'nuisance' to 49 examples using the same Justice KP label schema.</x:v>
      </x:c>
      <x:c r="R28" s="13" t="str">
        <x:v>Synthetic row based on category coverage gap from uploaded PDF</x:v>
      </x:c>
    </x:row>
    <x:row r="29" ht="36" customHeight="1">
      <x:c r="A29" s="13" t="str">
        <x:v>SYN-NUIS-024</x:v>
      </x:c>
      <x:c r="B29" s="13" t="str">
        <x:v>nuisance</x:v>
      </x:c>
      <x:c r="C29" s="13" t="str">
        <x:v>Synthetic</x:v>
      </x:c>
      <x:c r="D29" s="13" t="str"/>
      <x:c r="E29" s="13" t="str">
        <x:v>Civil</x:v>
      </x:c>
      <x:c r="F29" s="13" t="str">
        <x:v>Usok mula sa sinusunog na basura sa tabi ng bahay</x:v>
      </x:c>
      <x:c r="G29" s="13" t="str">
        <x:v>March 15, 2026</x:v>
      </x:c>
      <x:c r="H29" s="13" t="str">
        <x:v>-</x:v>
      </x:c>
      <x:c r="I29" s="13" t="str">
        <x:v>Synthetic example: parties are neighbors/residents; no prior court filing stated; for barangay mediation eligibility screening.</x:v>
      </x:c>
      <x:c r="J29" s="13" t="str">
        <x:v>For Mediation</x:v>
      </x:c>
      <x:c r="K29" s="13" t="str">
        <x:v>KP_COVERED_AMICABLE</x:v>
      </x:c>
      <x:c r="L29" s="13" t="str">
        <x:v>Eligible for KP screening</x:v>
      </x:c>
      <x:c r="M29" s="13" t="str">
        <x:v>Proceed to barangay conciliation / mediation screening</x:v>
      </x:c>
      <x:c r="N29" s="13" t="str">
        <x:v>Local neighbor nuisance dispute.</x:v>
      </x:c>
      <x:c r="O29" s="13" t="str"/>
      <x:c r="P29" s="13" t="str">
        <x:v>Usok mula sa sinusunog na basura sa tabi ng bahay</x:v>
      </x:c>
      <x:c r="Q29" s="13" t="str">
        <x:v>Added to balance 'nuisance' to 49 examples using the same Justice KP label schema.</x:v>
      </x:c>
      <x:c r="R29" s="13" t="str">
        <x:v>Synthetic row based on category coverage gap from uploaded PDF</x:v>
      </x:c>
    </x:row>
    <x:row r="30" ht="36" customHeight="1">
      <x:c r="A30" s="13" t="str">
        <x:v>SYN-NUIS-025</x:v>
      </x:c>
      <x:c r="B30" s="13" t="str">
        <x:v>nuisance</x:v>
      </x:c>
      <x:c r="C30" s="13" t="str">
        <x:v>Synthetic</x:v>
      </x:c>
      <x:c r="D30" s="13" t="str"/>
      <x:c r="E30" s="13" t="str">
        <x:v>Civil</x:v>
      </x:c>
      <x:c r="F30" s="13" t="str">
        <x:v>Pagparada ng sasakyan na nakaharang sa daanan</x:v>
      </x:c>
      <x:c r="G30" s="13" t="str">
        <x:v>March 18, 2026</x:v>
      </x:c>
      <x:c r="H30" s="13" t="str">
        <x:v>-</x:v>
      </x:c>
      <x:c r="I30" s="13" t="str">
        <x:v>Synthetic example: parties are neighbors/residents; no prior court filing stated; for barangay mediation eligibility screening.</x:v>
      </x:c>
      <x:c r="J30" s="13" t="str">
        <x:v>For Mediation</x:v>
      </x:c>
      <x:c r="K30" s="13" t="str">
        <x:v>KP_COVERED_AMICABLE</x:v>
      </x:c>
      <x:c r="L30" s="13" t="str">
        <x:v>Eligible for KP screening</x:v>
      </x:c>
      <x:c r="M30" s="13" t="str">
        <x:v>Proceed to barangay conciliation / mediation screening</x:v>
      </x:c>
      <x:c r="N30" s="13" t="str">
        <x:v>Local neighbor nuisance dispute.</x:v>
      </x:c>
      <x:c r="O30" s="13" t="str"/>
      <x:c r="P30" s="13" t="str">
        <x:v>Pagparada ng sasakyan na nakaharang sa daanan</x:v>
      </x:c>
      <x:c r="Q30" s="13" t="str">
        <x:v>Added to balance 'nuisance' to 49 examples using the same Justice KP label schema.</x:v>
      </x:c>
      <x:c r="R30" s="13" t="str">
        <x:v>Synthetic row based on category coverage gap from uploaded PDF</x:v>
      </x:c>
    </x:row>
    <x:row r="31" ht="36" customHeight="1">
      <x:c r="A31" s="13" t="str">
        <x:v>SYN-NUIS-026</x:v>
      </x:c>
      <x:c r="B31" s="13" t="str">
        <x:v>nuisance</x:v>
      </x:c>
      <x:c r="C31" s="13" t="str">
        <x:v>Synthetic</x:v>
      </x:c>
      <x:c r="D31" s="13" t="str"/>
      <x:c r="E31" s="13" t="str">
        <x:v>Civil</x:v>
      </x:c>
      <x:c r="F31" s="13" t="str">
        <x:v>Malakas na makina ng maliit na gawaan sa residential area</x:v>
      </x:c>
      <x:c r="G31" s="13" t="str">
        <x:v>March 21, 2026</x:v>
      </x:c>
      <x:c r="H31" s="13" t="str">
        <x:v>-</x:v>
      </x:c>
      <x:c r="I31" s="13" t="str">
        <x:v>Synthetic example: parties are neighbors/residents; no prior court filing stated; for barangay mediation eligibility screening.</x:v>
      </x:c>
      <x:c r="J31" s="13" t="str">
        <x:v>For Mediation</x:v>
      </x:c>
      <x:c r="K31" s="13" t="str">
        <x:v>KP_COVERED_AMICABLE</x:v>
      </x:c>
      <x:c r="L31" s="13" t="str">
        <x:v>Eligible for KP screening</x:v>
      </x:c>
      <x:c r="M31" s="13" t="str">
        <x:v>Proceed to barangay conciliation / mediation screening</x:v>
      </x:c>
      <x:c r="N31" s="13" t="str">
        <x:v>Local neighbor nuisance dispute.</x:v>
      </x:c>
      <x:c r="O31" s="13" t="str"/>
      <x:c r="P31" s="13" t="str">
        <x:v>Malakas na makina ng maliit na gawaan sa residential area</x:v>
      </x:c>
      <x:c r="Q31" s="13" t="str">
        <x:v>Added to balance 'nuisance' to 49 examples using the same Justice KP label schema.</x:v>
      </x:c>
      <x:c r="R31" s="13" t="str">
        <x:v>Synthetic row based on category coverage gap from uploaded PDF</x:v>
      </x:c>
    </x:row>
    <x:row r="32" ht="36" customHeight="1">
      <x:c r="A32" s="13" t="str">
        <x:v>SYN-NUIS-027</x:v>
      </x:c>
      <x:c r="B32" s="13" t="str">
        <x:v>nuisance</x:v>
      </x:c>
      <x:c r="C32" s="13" t="str">
        <x:v>Synthetic</x:v>
      </x:c>
      <x:c r="D32" s="13" t="str"/>
      <x:c r="E32" s="13" t="str">
        <x:v>Civil</x:v>
      </x:c>
      <x:c r="F32" s="13" t="str">
        <x:v>Pagkalat ng basura sa harap ng bahay ng kapitbahay</x:v>
      </x:c>
      <x:c r="G32" s="13" t="str">
        <x:v>March 24, 2026</x:v>
      </x:c>
      <x:c r="H32" s="13" t="str">
        <x:v>-</x:v>
      </x:c>
      <x:c r="I32" s="13" t="str">
        <x:v>Synthetic example: parties are neighbors/residents; no prior court filing stated; for barangay mediation eligibility screening.</x:v>
      </x:c>
      <x:c r="J32" s="13" t="str">
        <x:v>For Mediation</x:v>
      </x:c>
      <x:c r="K32" s="13" t="str">
        <x:v>KP_COVERED_AMICABLE</x:v>
      </x:c>
      <x:c r="L32" s="13" t="str">
        <x:v>Eligible for KP screening</x:v>
      </x:c>
      <x:c r="M32" s="13" t="str">
        <x:v>Proceed to barangay conciliation / mediation screening</x:v>
      </x:c>
      <x:c r="N32" s="13" t="str">
        <x:v>Local neighbor nuisance dispute.</x:v>
      </x:c>
      <x:c r="O32" s="13" t="str"/>
      <x:c r="P32" s="13" t="str">
        <x:v>Pagkalat ng basura sa harap ng bahay ng kapitbahay</x:v>
      </x:c>
      <x:c r="Q32" s="13" t="str">
        <x:v>Added to balance 'nuisance' to 49 examples using the same Justice KP label schema.</x:v>
      </x:c>
      <x:c r="R32" s="13" t="str">
        <x:v>Synthetic row based on category coverage gap from uploaded PDF</x:v>
      </x:c>
    </x:row>
    <x:row r="33" ht="36" customHeight="1">
      <x:c r="A33" s="13" t="str">
        <x:v>SYN-NUIS-028</x:v>
      </x:c>
      <x:c r="B33" s="13" t="str">
        <x:v>nuisance</x:v>
      </x:c>
      <x:c r="C33" s="13" t="str">
        <x:v>Synthetic</x:v>
      </x:c>
      <x:c r="D33" s="13" t="str"/>
      <x:c r="E33" s="13" t="str">
        <x:v>Civil</x:v>
      </x:c>
      <x:c r="F33" s="13" t="str">
        <x:v>Tubig at putik na umaagos mula sa tindahan papunta sa bahay</x:v>
      </x:c>
      <x:c r="G33" s="13" t="str">
        <x:v>March 27, 2026</x:v>
      </x:c>
      <x:c r="H33" s="13" t="str">
        <x:v>-</x:v>
      </x:c>
      <x:c r="I33" s="13" t="str">
        <x:v>Synthetic example: parties are neighbors/residents; no prior court filing stated; for barangay mediation eligibility screening.</x:v>
      </x:c>
      <x:c r="J33" s="13" t="str">
        <x:v>For Mediation</x:v>
      </x:c>
      <x:c r="K33" s="13" t="str">
        <x:v>KP_COVERED_AMICABLE</x:v>
      </x:c>
      <x:c r="L33" s="13" t="str">
        <x:v>Eligible for KP screening</x:v>
      </x:c>
      <x:c r="M33" s="13" t="str">
        <x:v>Proceed to barangay conciliation / mediation screening</x:v>
      </x:c>
      <x:c r="N33" s="13" t="str">
        <x:v>Local neighbor nuisance dispute.</x:v>
      </x:c>
      <x:c r="O33" s="13" t="str"/>
      <x:c r="P33" s="13" t="str">
        <x:v>Tubig at putik na umaagos mula sa tindahan papunta sa bahay</x:v>
      </x:c>
      <x:c r="Q33" s="13" t="str">
        <x:v>Added to balance 'nuisance' to 49 examples using the same Justice KP label schema.</x:v>
      </x:c>
      <x:c r="R33" s="13" t="str">
        <x:v>Synthetic row based on category coverage gap from uploaded PDF</x:v>
      </x:c>
    </x:row>
    <x:row r="34" ht="36" customHeight="1">
      <x:c r="A34" s="13" t="str">
        <x:v>SYN-NUIS-029</x:v>
      </x:c>
      <x:c r="B34" s="13" t="str">
        <x:v>nuisance</x:v>
      </x:c>
      <x:c r="C34" s="13" t="str">
        <x:v>Synthetic</x:v>
      </x:c>
      <x:c r="D34" s="13" t="str"/>
      <x:c r="E34" s="13" t="str">
        <x:v>Civil</x:v>
      </x:c>
      <x:c r="F34" s="13" t="str">
        <x:v>Tahol ng aso sa madaling araw na nagiging istorbo</x:v>
      </x:c>
      <x:c r="G34" s="13" t="str">
        <x:v>March 30, 2026</x:v>
      </x:c>
      <x:c r="H34" s="13" t="str">
        <x:v>-</x:v>
      </x:c>
      <x:c r="I34" s="13" t="str">
        <x:v>Synthetic example: parties are neighbors/residents; no prior court filing stated; for barangay mediation eligibility screening.</x:v>
      </x:c>
      <x:c r="J34" s="13" t="str">
        <x:v>For Mediation</x:v>
      </x:c>
      <x:c r="K34" s="13" t="str">
        <x:v>KP_COVERED_AMICABLE</x:v>
      </x:c>
      <x:c r="L34" s="13" t="str">
        <x:v>Eligible for KP screening</x:v>
      </x:c>
      <x:c r="M34" s="13" t="str">
        <x:v>Proceed to barangay conciliation / mediation screening</x:v>
      </x:c>
      <x:c r="N34" s="13" t="str">
        <x:v>Local neighbor nuisance dispute.</x:v>
      </x:c>
      <x:c r="O34" s="13" t="str"/>
      <x:c r="P34" s="13" t="str">
        <x:v>Tahol ng aso sa madaling araw na nagiging istorbo</x:v>
      </x:c>
      <x:c r="Q34" s="13" t="str">
        <x:v>Added to balance 'nuisance' to 49 examples using the same Justice KP label schema.</x:v>
      </x:c>
      <x:c r="R34" s="13" t="str">
        <x:v>Synthetic row based on category coverage gap from uploaded PDF</x:v>
      </x:c>
    </x:row>
    <x:row r="35" ht="36" customHeight="1">
      <x:c r="A35" s="13" t="str">
        <x:v>SYN-NUIS-030</x:v>
      </x:c>
      <x:c r="B35" s="13" t="str">
        <x:v>nuisance</x:v>
      </x:c>
      <x:c r="C35" s="13" t="str">
        <x:v>Synthetic</x:v>
      </x:c>
      <x:c r="D35" s="13" t="str"/>
      <x:c r="E35" s="13" t="str">
        <x:v>Civil</x:v>
      </x:c>
      <x:c r="F35" s="13" t="str">
        <x:v>Pag-iinom at pagsisigawan sa labas ng bahay tuwing gabi</x:v>
      </x:c>
      <x:c r="G35" s="13" t="str">
        <x:v>April 2, 2026</x:v>
      </x:c>
      <x:c r="H35" s="13" t="str">
        <x:v>-</x:v>
      </x:c>
      <x:c r="I35" s="13" t="str">
        <x:v>Synthetic example: parties are neighbors/residents; no prior court filing stated; for barangay mediation eligibility screening.</x:v>
      </x:c>
      <x:c r="J35" s="13" t="str">
        <x:v>For Mediation</x:v>
      </x:c>
      <x:c r="K35" s="13" t="str">
        <x:v>KP_COVERED_AMICABLE</x:v>
      </x:c>
      <x:c r="L35" s="13" t="str">
        <x:v>Eligible for KP screening</x:v>
      </x:c>
      <x:c r="M35" s="13" t="str">
        <x:v>Proceed to barangay conciliation / mediation screening</x:v>
      </x:c>
      <x:c r="N35" s="13" t="str">
        <x:v>Local neighbor nuisance dispute.</x:v>
      </x:c>
      <x:c r="O35" s="13" t="str"/>
      <x:c r="P35" s="13" t="str">
        <x:v>Pag-iinom at pagsisigawan sa labas ng bahay tuwing gabi</x:v>
      </x:c>
      <x:c r="Q35" s="13" t="str">
        <x:v>Added to balance 'nuisance' to 49 examples using the same Justice KP label schema.</x:v>
      </x:c>
      <x:c r="R35" s="13" t="str">
        <x:v>Synthetic row based on category coverage gap from uploaded PDF</x:v>
      </x:c>
    </x:row>
    <x:row r="36" ht="36" customHeight="1">
      <x:c r="A36" s="13" t="str">
        <x:v>SYN-NUIS-031</x:v>
      </x:c>
      <x:c r="B36" s="13" t="str">
        <x:v>nuisance</x:v>
      </x:c>
      <x:c r="C36" s="13" t="str">
        <x:v>Synthetic</x:v>
      </x:c>
      <x:c r="D36" s="13" t="str"/>
      <x:c r="E36" s="13" t="str">
        <x:v>Civil</x:v>
      </x:c>
      <x:c r="F36" s="13" t="str">
        <x:v>Reklamo sa malakas na videoke tuwing gabi</x:v>
      </x:c>
      <x:c r="G36" s="13" t="str">
        <x:v>April 5, 2026</x:v>
      </x:c>
      <x:c r="H36" s="13" t="str">
        <x:v>-</x:v>
      </x:c>
      <x:c r="I36" s="13" t="str">
        <x:v>Synthetic example: parties are neighbors/residents; no prior court filing stated; for barangay mediation eligibility screening.</x:v>
      </x:c>
      <x:c r="J36" s="13" t="str">
        <x:v>For Mediation</x:v>
      </x:c>
      <x:c r="K36" s="13" t="str">
        <x:v>KP_COVERED_AMICABLE</x:v>
      </x:c>
      <x:c r="L36" s="13" t="str">
        <x:v>Eligible for KP screening</x:v>
      </x:c>
      <x:c r="M36" s="13" t="str">
        <x:v>Proceed to barangay conciliation / mediation screening</x:v>
      </x:c>
      <x:c r="N36" s="13" t="str">
        <x:v>Local neighbor nuisance dispute.</x:v>
      </x:c>
      <x:c r="O36" s="13" t="str"/>
      <x:c r="P36" s="13" t="str">
        <x:v>Reklamo sa malakas na videoke tuwing gabi</x:v>
      </x:c>
      <x:c r="Q36" s="13" t="str">
        <x:v>Added to balance 'nuisance' to 49 examples using the same Justice KP label schema.</x:v>
      </x:c>
      <x:c r="R36" s="13" t="str">
        <x:v>Synthetic row based on category coverage gap from uploaded PDF</x:v>
      </x:c>
    </x:row>
    <x:row r="37" ht="36" customHeight="1">
      <x:c r="A37" s="13" t="str">
        <x:v>SYN-NUIS-032</x:v>
      </x:c>
      <x:c r="B37" s="13" t="str">
        <x:v>nuisance</x:v>
      </x:c>
      <x:c r="C37" s="13" t="str">
        <x:v>Synthetic</x:v>
      </x:c>
      <x:c r="D37" s="13" t="str"/>
      <x:c r="E37" s="13" t="str">
        <x:v>Civil</x:v>
      </x:c>
      <x:c r="F37" s="13" t="str">
        <x:v>Pag-iingay ng motorsiklo sa dis-oras ng gabi</x:v>
      </x:c>
      <x:c r="G37" s="13" t="str">
        <x:v>April 8, 2026</x:v>
      </x:c>
      <x:c r="H37" s="13" t="str">
        <x:v>-</x:v>
      </x:c>
      <x:c r="I37" s="13" t="str">
        <x:v>Synthetic example: parties are neighbors/residents; no prior court filing stated; for barangay mediation eligibility screening.</x:v>
      </x:c>
      <x:c r="J37" s="13" t="str">
        <x:v>For Mediation</x:v>
      </x:c>
      <x:c r="K37" s="13" t="str">
        <x:v>KP_COVERED_AMICABLE</x:v>
      </x:c>
      <x:c r="L37" s="13" t="str">
        <x:v>Eligible for KP screening</x:v>
      </x:c>
      <x:c r="M37" s="13" t="str">
        <x:v>Proceed to barangay conciliation / mediation screening</x:v>
      </x:c>
      <x:c r="N37" s="13" t="str">
        <x:v>Local neighbor nuisance dispute.</x:v>
      </x:c>
      <x:c r="O37" s="13" t="str"/>
      <x:c r="P37" s="13" t="str">
        <x:v>Pag-iingay ng motorsiklo sa dis-oras ng gabi</x:v>
      </x:c>
      <x:c r="Q37" s="13" t="str">
        <x:v>Added to balance 'nuisance' to 49 examples using the same Justice KP label schema.</x:v>
      </x:c>
      <x:c r="R37" s="13" t="str">
        <x:v>Synthetic row based on category coverage gap from uploaded PDF</x:v>
      </x:c>
    </x:row>
    <x:row r="38" ht="36" customHeight="1">
      <x:c r="A38" s="13" t="str">
        <x:v>SYN-NUIS-033</x:v>
      </x:c>
      <x:c r="B38" s="13" t="str">
        <x:v>nuisance</x:v>
      </x:c>
      <x:c r="C38" s="13" t="str">
        <x:v>Synthetic</x:v>
      </x:c>
      <x:c r="D38" s="13" t="str"/>
      <x:c r="E38" s="13" t="str">
        <x:v>Civil</x:v>
      </x:c>
      <x:c r="F38" s="13" t="str">
        <x:v>Amoy ng kulungan ng manok na nakakaistorbo sa kapitbahay</x:v>
      </x:c>
      <x:c r="G38" s="13" t="str">
        <x:v>April 11, 2026</x:v>
      </x:c>
      <x:c r="H38" s="13" t="str">
        <x:v>-</x:v>
      </x:c>
      <x:c r="I38" s="13" t="str">
        <x:v>Synthetic example: parties are neighbors/residents; no prior court filing stated; for barangay mediation eligibility screening.</x:v>
      </x:c>
      <x:c r="J38" s="13" t="str">
        <x:v>For Mediation</x:v>
      </x:c>
      <x:c r="K38" s="13" t="str">
        <x:v>KP_COVERED_AMICABLE</x:v>
      </x:c>
      <x:c r="L38" s="13" t="str">
        <x:v>Eligible for KP screening</x:v>
      </x:c>
      <x:c r="M38" s="13" t="str">
        <x:v>Proceed to barangay conciliation / mediation screening</x:v>
      </x:c>
      <x:c r="N38" s="13" t="str">
        <x:v>Local neighbor nuisance dispute.</x:v>
      </x:c>
      <x:c r="O38" s="13" t="str"/>
      <x:c r="P38" s="13" t="str">
        <x:v>Amoy ng kulungan ng manok na nakakaistorbo sa kapitbahay</x:v>
      </x:c>
      <x:c r="Q38" s="13" t="str">
        <x:v>Added to balance 'nuisance' to 49 examples using the same Justice KP label schema.</x:v>
      </x:c>
      <x:c r="R38" s="13" t="str">
        <x:v>Synthetic row based on category coverage gap from uploaded PDF</x:v>
      </x:c>
    </x:row>
    <x:row r="39" ht="36" customHeight="1">
      <x:c r="A39" s="13" t="str">
        <x:v>SYN-NUIS-034</x:v>
      </x:c>
      <x:c r="B39" s="13" t="str">
        <x:v>nuisance</x:v>
      </x:c>
      <x:c r="C39" s="13" t="str">
        <x:v>Synthetic</x:v>
      </x:c>
      <x:c r="D39" s="13" t="str"/>
      <x:c r="E39" s="13" t="str">
        <x:v>Civil</x:v>
      </x:c>
      <x:c r="F39" s="13" t="str">
        <x:v>Usok mula sa sinusunog na basura sa tabi ng bahay</x:v>
      </x:c>
      <x:c r="G39" s="13" t="str">
        <x:v>April 14, 2026</x:v>
      </x:c>
      <x:c r="H39" s="13" t="str">
        <x:v>-</x:v>
      </x:c>
      <x:c r="I39" s="13" t="str">
        <x:v>Synthetic example: parties are neighbors/residents; no prior court filing stated; for barangay mediation eligibility screening.</x:v>
      </x:c>
      <x:c r="J39" s="13" t="str">
        <x:v>For Mediation</x:v>
      </x:c>
      <x:c r="K39" s="13" t="str">
        <x:v>KP_COVERED_AMICABLE</x:v>
      </x:c>
      <x:c r="L39" s="13" t="str">
        <x:v>Eligible for KP screening</x:v>
      </x:c>
      <x:c r="M39" s="13" t="str">
        <x:v>Proceed to barangay conciliation / mediation screening</x:v>
      </x:c>
      <x:c r="N39" s="13" t="str">
        <x:v>Local neighbor nuisance dispute.</x:v>
      </x:c>
      <x:c r="O39" s="13" t="str"/>
      <x:c r="P39" s="13" t="str">
        <x:v>Usok mula sa sinusunog na basura sa tabi ng bahay</x:v>
      </x:c>
      <x:c r="Q39" s="13" t="str">
        <x:v>Added to balance 'nuisance' to 49 examples using the same Justice KP label schema.</x:v>
      </x:c>
      <x:c r="R39" s="13" t="str">
        <x:v>Synthetic row based on category coverage gap from uploaded PDF</x:v>
      </x:c>
    </x:row>
    <x:row r="40" ht="36" customHeight="1">
      <x:c r="A40" s="13" t="str">
        <x:v>SYN-NUIS-035</x:v>
      </x:c>
      <x:c r="B40" s="13" t="str">
        <x:v>nuisance</x:v>
      </x:c>
      <x:c r="C40" s="13" t="str">
        <x:v>Synthetic</x:v>
      </x:c>
      <x:c r="D40" s="13" t="str"/>
      <x:c r="E40" s="13" t="str">
        <x:v>Civil</x:v>
      </x:c>
      <x:c r="F40" s="13" t="str">
        <x:v>Pagparada ng sasakyan na nakaharang sa daanan</x:v>
      </x:c>
      <x:c r="G40" s="13" t="str">
        <x:v>April 17, 2026</x:v>
      </x:c>
      <x:c r="H40" s="13" t="str">
        <x:v>-</x:v>
      </x:c>
      <x:c r="I40" s="13" t="str">
        <x:v>Synthetic example: parties are neighbors/residents; no prior court filing stated; for barangay mediation eligibility screening.</x:v>
      </x:c>
      <x:c r="J40" s="13" t="str">
        <x:v>For Mediation</x:v>
      </x:c>
      <x:c r="K40" s="13" t="str">
        <x:v>KP_COVERED_AMICABLE</x:v>
      </x:c>
      <x:c r="L40" s="13" t="str">
        <x:v>Eligible for KP screening</x:v>
      </x:c>
      <x:c r="M40" s="13" t="str">
        <x:v>Proceed to barangay conciliation / mediation screening</x:v>
      </x:c>
      <x:c r="N40" s="13" t="str">
        <x:v>Local neighbor nuisance dispute.</x:v>
      </x:c>
      <x:c r="O40" s="13" t="str"/>
      <x:c r="P40" s="13" t="str">
        <x:v>Pagparada ng sasakyan na nakaharang sa daanan</x:v>
      </x:c>
      <x:c r="Q40" s="13" t="str">
        <x:v>Added to balance 'nuisance' to 49 examples using the same Justice KP label schema.</x:v>
      </x:c>
      <x:c r="R40" s="13" t="str">
        <x:v>Synthetic row based on category coverage gap from uploaded PDF</x:v>
      </x:c>
    </x:row>
    <x:row r="41" ht="36" customHeight="1">
      <x:c r="A41" s="13" t="str">
        <x:v>SYN-NUIS-036</x:v>
      </x:c>
      <x:c r="B41" s="13" t="str">
        <x:v>nuisance</x:v>
      </x:c>
      <x:c r="C41" s="13" t="str">
        <x:v>Synthetic</x:v>
      </x:c>
      <x:c r="D41" s="13" t="str"/>
      <x:c r="E41" s="13" t="str">
        <x:v>Civil</x:v>
      </x:c>
      <x:c r="F41" s="13" t="str">
        <x:v>Malakas na makina ng maliit na gawaan sa residential area</x:v>
      </x:c>
      <x:c r="G41" s="13" t="str">
        <x:v>April 20, 2026</x:v>
      </x:c>
      <x:c r="H41" s="13" t="str">
        <x:v>-</x:v>
      </x:c>
      <x:c r="I41" s="13" t="str">
        <x:v>Synthetic example: parties are neighbors/residents; no prior court filing stated; for barangay mediation eligibility screening.</x:v>
      </x:c>
      <x:c r="J41" s="13" t="str">
        <x:v>For Mediation</x:v>
      </x:c>
      <x:c r="K41" s="13" t="str">
        <x:v>KP_COVERED_AMICABLE</x:v>
      </x:c>
      <x:c r="L41" s="13" t="str">
        <x:v>Eligible for KP screening</x:v>
      </x:c>
      <x:c r="M41" s="13" t="str">
        <x:v>Proceed to barangay conciliation / mediation screening</x:v>
      </x:c>
      <x:c r="N41" s="13" t="str">
        <x:v>Local neighbor nuisance dispute.</x:v>
      </x:c>
      <x:c r="O41" s="13" t="str"/>
      <x:c r="P41" s="13" t="str">
        <x:v>Malakas na makina ng maliit na gawaan sa residential area</x:v>
      </x:c>
      <x:c r="Q41" s="13" t="str">
        <x:v>Added to balance 'nuisance' to 49 examples using the same Justice KP label schema.</x:v>
      </x:c>
      <x:c r="R41" s="13" t="str">
        <x:v>Synthetic row based on category coverage gap from uploaded PDF</x:v>
      </x:c>
    </x:row>
    <x:row r="42" ht="36" customHeight="1">
      <x:c r="A42" s="13" t="str">
        <x:v>SYN-NUIS-037</x:v>
      </x:c>
      <x:c r="B42" s="13" t="str">
        <x:v>nuisance</x:v>
      </x:c>
      <x:c r="C42" s="13" t="str">
        <x:v>Synthetic</x:v>
      </x:c>
      <x:c r="D42" s="13" t="str"/>
      <x:c r="E42" s="13" t="str">
        <x:v>Civil</x:v>
      </x:c>
      <x:c r="F42" s="13" t="str">
        <x:v>Pagkalat ng basura sa harap ng bahay ng kapitbahay</x:v>
      </x:c>
      <x:c r="G42" s="13" t="str">
        <x:v>April 23, 2026</x:v>
      </x:c>
      <x:c r="H42" s="13" t="str">
        <x:v>-</x:v>
      </x:c>
      <x:c r="I42" s="13" t="str">
        <x:v>Synthetic example: parties are neighbors/residents; no prior court filing stated; for barangay mediation eligibility screening.</x:v>
      </x:c>
      <x:c r="J42" s="13" t="str">
        <x:v>For Mediation</x:v>
      </x:c>
      <x:c r="K42" s="13" t="str">
        <x:v>KP_COVERED_AMICABLE</x:v>
      </x:c>
      <x:c r="L42" s="13" t="str">
        <x:v>Eligible for KP screening</x:v>
      </x:c>
      <x:c r="M42" s="13" t="str">
        <x:v>Proceed to barangay conciliation / mediation screening</x:v>
      </x:c>
      <x:c r="N42" s="13" t="str">
        <x:v>Local neighbor nuisance dispute.</x:v>
      </x:c>
      <x:c r="O42" s="13" t="str"/>
      <x:c r="P42" s="13" t="str">
        <x:v>Pagkalat ng basura sa harap ng bahay ng kapitbahay</x:v>
      </x:c>
      <x:c r="Q42" s="13" t="str">
        <x:v>Added to balance 'nuisance' to 49 examples using the same Justice KP label schema.</x:v>
      </x:c>
      <x:c r="R42" s="13" t="str">
        <x:v>Synthetic row based on category coverage gap from uploaded PDF</x:v>
      </x:c>
    </x:row>
    <x:row r="43" ht="36" customHeight="1">
      <x:c r="A43" s="13" t="str">
        <x:v>SYN-NUIS-038</x:v>
      </x:c>
      <x:c r="B43" s="13" t="str">
        <x:v>nuisance</x:v>
      </x:c>
      <x:c r="C43" s="13" t="str">
        <x:v>Synthetic</x:v>
      </x:c>
      <x:c r="D43" s="13" t="str"/>
      <x:c r="E43" s="13" t="str">
        <x:v>Civil</x:v>
      </x:c>
      <x:c r="F43" s="13" t="str">
        <x:v>Tubig at putik na umaagos mula sa tindahan papunta sa bahay</x:v>
      </x:c>
      <x:c r="G43" s="13" t="str">
        <x:v>April 26, 2026</x:v>
      </x:c>
      <x:c r="H43" s="13" t="str">
        <x:v>-</x:v>
      </x:c>
      <x:c r="I43" s="13" t="str">
        <x:v>Synthetic example: parties are neighbors/residents; no prior court filing stated; for barangay mediation eligibility screening.</x:v>
      </x:c>
      <x:c r="J43" s="13" t="str">
        <x:v>For Mediation</x:v>
      </x:c>
      <x:c r="K43" s="13" t="str">
        <x:v>KP_COVERED_AMICABLE</x:v>
      </x:c>
      <x:c r="L43" s="13" t="str">
        <x:v>Eligible for KP screening</x:v>
      </x:c>
      <x:c r="M43" s="13" t="str">
        <x:v>Proceed to barangay conciliation / mediation screening</x:v>
      </x:c>
      <x:c r="N43" s="13" t="str">
        <x:v>Local neighbor nuisance dispute.</x:v>
      </x:c>
      <x:c r="O43" s="13" t="str"/>
      <x:c r="P43" s="13" t="str">
        <x:v>Tubig at putik na umaagos mula sa tindahan papunta sa bahay</x:v>
      </x:c>
      <x:c r="Q43" s="13" t="str">
        <x:v>Added to balance 'nuisance' to 49 examples using the same Justice KP label schema.</x:v>
      </x:c>
      <x:c r="R43" s="13" t="str">
        <x:v>Synthetic row based on category coverage gap from uploaded PDF</x:v>
      </x:c>
    </x:row>
    <x:row r="44" ht="36" customHeight="1">
      <x:c r="A44" s="13" t="str">
        <x:v>SYN-NUIS-039</x:v>
      </x:c>
      <x:c r="B44" s="13" t="str">
        <x:v>nuisance</x:v>
      </x:c>
      <x:c r="C44" s="13" t="str">
        <x:v>Synthetic</x:v>
      </x:c>
      <x:c r="D44" s="13" t="str"/>
      <x:c r="E44" s="13" t="str">
        <x:v>Civil</x:v>
      </x:c>
      <x:c r="F44" s="13" t="str">
        <x:v>Tahol ng aso sa madaling araw na nagiging istorbo</x:v>
      </x:c>
      <x:c r="G44" s="13" t="str">
        <x:v>April 29, 2026</x:v>
      </x:c>
      <x:c r="H44" s="13" t="str">
        <x:v>-</x:v>
      </x:c>
      <x:c r="I44" s="13" t="str">
        <x:v>Synthetic example: parties are neighbors/residents; no prior court filing stated; for barangay mediation eligibility screening.</x:v>
      </x:c>
      <x:c r="J44" s="13" t="str">
        <x:v>For Mediation</x:v>
      </x:c>
      <x:c r="K44" s="13" t="str">
        <x:v>KP_COVERED_AMICABLE</x:v>
      </x:c>
      <x:c r="L44" s="13" t="str">
        <x:v>Eligible for KP screening</x:v>
      </x:c>
      <x:c r="M44" s="13" t="str">
        <x:v>Proceed to barangay conciliation / mediation screening</x:v>
      </x:c>
      <x:c r="N44" s="13" t="str">
        <x:v>Local neighbor nuisance dispute.</x:v>
      </x:c>
      <x:c r="O44" s="13" t="str"/>
      <x:c r="P44" s="13" t="str">
        <x:v>Tahol ng aso sa madaling araw na nagiging istorbo</x:v>
      </x:c>
      <x:c r="Q44" s="13" t="str">
        <x:v>Added to balance 'nuisance' to 49 examples using the same Justice KP label schema.</x:v>
      </x:c>
      <x:c r="R44" s="13" t="str">
        <x:v>Synthetic row based on category coverage gap from uploaded PDF</x:v>
      </x:c>
    </x:row>
    <x:row r="45" ht="36" customHeight="1">
      <x:c r="A45" s="13" t="str">
        <x:v>SYN-NUIS-040</x:v>
      </x:c>
      <x:c r="B45" s="13" t="str">
        <x:v>nuisance</x:v>
      </x:c>
      <x:c r="C45" s="13" t="str">
        <x:v>Synthetic</x:v>
      </x:c>
      <x:c r="D45" s="13" t="str"/>
      <x:c r="E45" s="13" t="str">
        <x:v>Civil</x:v>
      </x:c>
      <x:c r="F45" s="13" t="str">
        <x:v>Pag-iinom at pagsisigawan sa labas ng bahay tuwing gabi</x:v>
      </x:c>
      <x:c r="G45" s="13" t="str">
        <x:v>May 2, 2026</x:v>
      </x:c>
      <x:c r="H45" s="13" t="str">
        <x:v>-</x:v>
      </x:c>
      <x:c r="I45" s="13" t="str">
        <x:v>Synthetic example: parties are neighbors/residents; no prior court filing stated; for barangay mediation eligibility screening.</x:v>
      </x:c>
      <x:c r="J45" s="13" t="str">
        <x:v>For Mediation</x:v>
      </x:c>
      <x:c r="K45" s="13" t="str">
        <x:v>KP_COVERED_AMICABLE</x:v>
      </x:c>
      <x:c r="L45" s="13" t="str">
        <x:v>Eligible for KP screening</x:v>
      </x:c>
      <x:c r="M45" s="13" t="str">
        <x:v>Proceed to barangay conciliation / mediation screening</x:v>
      </x:c>
      <x:c r="N45" s="13" t="str">
        <x:v>Local neighbor nuisance dispute.</x:v>
      </x:c>
      <x:c r="O45" s="13" t="str"/>
      <x:c r="P45" s="13" t="str">
        <x:v>Pag-iinom at pagsisigawan sa labas ng bahay tuwing gabi</x:v>
      </x:c>
      <x:c r="Q45" s="13" t="str">
        <x:v>Added to balance 'nuisance' to 49 examples using the same Justice KP label schema.</x:v>
      </x:c>
      <x:c r="R45" s="13" t="str">
        <x:v>Synthetic row based on category coverage gap from uploaded PDF</x:v>
      </x:c>
    </x:row>
    <x:row r="46" ht="36" customHeight="1">
      <x:c r="A46" s="13" t="str">
        <x:v>SYN-NUIS-041</x:v>
      </x:c>
      <x:c r="B46" s="13" t="str">
        <x:v>nuisance</x:v>
      </x:c>
      <x:c r="C46" s="13" t="str">
        <x:v>Synthetic</x:v>
      </x:c>
      <x:c r="D46" s="13" t="str"/>
      <x:c r="E46" s="13" t="str">
        <x:v>Civil</x:v>
      </x:c>
      <x:c r="F46" s="13" t="str">
        <x:v>Reklamo sa malakas na videoke tuwing gabi</x:v>
      </x:c>
      <x:c r="G46" s="13" t="str">
        <x:v>May 5, 2026</x:v>
      </x:c>
      <x:c r="H46" s="13" t="str">
        <x:v>-</x:v>
      </x:c>
      <x:c r="I46" s="13" t="str">
        <x:v>Synthetic example: parties are neighbors/residents; no prior court filing stated; for barangay mediation eligibility screening.</x:v>
      </x:c>
      <x:c r="J46" s="13" t="str">
        <x:v>For Mediation</x:v>
      </x:c>
      <x:c r="K46" s="13" t="str">
        <x:v>KP_COVERED_AMICABLE</x:v>
      </x:c>
      <x:c r="L46" s="13" t="str">
        <x:v>Eligible for KP screening</x:v>
      </x:c>
      <x:c r="M46" s="13" t="str">
        <x:v>Proceed to barangay conciliation / mediation screening</x:v>
      </x:c>
      <x:c r="N46" s="13" t="str">
        <x:v>Local neighbor nuisance dispute.</x:v>
      </x:c>
      <x:c r="O46" s="13" t="str"/>
      <x:c r="P46" s="13" t="str">
        <x:v>Reklamo sa malakas na videoke tuwing gabi</x:v>
      </x:c>
      <x:c r="Q46" s="13" t="str">
        <x:v>Added to balance 'nuisance' to 49 examples using the same Justice KP label schema.</x:v>
      </x:c>
      <x:c r="R46" s="13" t="str">
        <x:v>Synthetic row based on category coverage gap from uploaded PDF</x:v>
      </x:c>
    </x:row>
    <x:row r="47" ht="36" customHeight="1">
      <x:c r="A47" s="13" t="str">
        <x:v>SYN-NUIS-042</x:v>
      </x:c>
      <x:c r="B47" s="13" t="str">
        <x:v>nuisance</x:v>
      </x:c>
      <x:c r="C47" s="13" t="str">
        <x:v>Synthetic</x:v>
      </x:c>
      <x:c r="D47" s="13" t="str"/>
      <x:c r="E47" s="13" t="str">
        <x:v>Civil</x:v>
      </x:c>
      <x:c r="F47" s="13" t="str">
        <x:v>Pag-iingay ng motorsiklo sa dis-oras ng gabi</x:v>
      </x:c>
      <x:c r="G47" s="13" t="str">
        <x:v>May 8, 2026</x:v>
      </x:c>
      <x:c r="H47" s="13" t="str">
        <x:v>-</x:v>
      </x:c>
      <x:c r="I47" s="13" t="str">
        <x:v>Synthetic example: parties are neighbors/residents; no prior court filing stated; for barangay mediation eligibility screening.</x:v>
      </x:c>
      <x:c r="J47" s="13" t="str">
        <x:v>For Mediation</x:v>
      </x:c>
      <x:c r="K47" s="13" t="str">
        <x:v>KP_COVERED_AMICABLE</x:v>
      </x:c>
      <x:c r="L47" s="13" t="str">
        <x:v>Eligible for KP screening</x:v>
      </x:c>
      <x:c r="M47" s="13" t="str">
        <x:v>Proceed to barangay conciliation / mediation screening</x:v>
      </x:c>
      <x:c r="N47" s="13" t="str">
        <x:v>Local neighbor nuisance dispute.</x:v>
      </x:c>
      <x:c r="O47" s="13" t="str"/>
      <x:c r="P47" s="13" t="str">
        <x:v>Pag-iingay ng motorsiklo sa dis-oras ng gabi</x:v>
      </x:c>
      <x:c r="Q47" s="13" t="str">
        <x:v>Added to balance 'nuisance' to 49 examples using the same Justice KP label schema.</x:v>
      </x:c>
      <x:c r="R47" s="13" t="str">
        <x:v>Synthetic row based on category coverage gap from uploaded PDF</x:v>
      </x:c>
    </x:row>
    <x:row r="48" ht="36" customHeight="1">
      <x:c r="A48" s="13" t="str">
        <x:v>SYN-NUIS-043</x:v>
      </x:c>
      <x:c r="B48" s="13" t="str">
        <x:v>nuisance</x:v>
      </x:c>
      <x:c r="C48" s="13" t="str">
        <x:v>Synthetic</x:v>
      </x:c>
      <x:c r="D48" s="13" t="str"/>
      <x:c r="E48" s="13" t="str">
        <x:v>Civil</x:v>
      </x:c>
      <x:c r="F48" s="13" t="str">
        <x:v>Amoy ng kulungan ng manok na nakakaistorbo sa kapitbahay</x:v>
      </x:c>
      <x:c r="G48" s="13" t="str">
        <x:v>May 11, 2026</x:v>
      </x:c>
      <x:c r="H48" s="13" t="str">
        <x:v>-</x:v>
      </x:c>
      <x:c r="I48" s="13" t="str">
        <x:v>Synthetic example: parties are neighbors/residents; no prior court filing stated; for barangay mediation eligibility screening.</x:v>
      </x:c>
      <x:c r="J48" s="13" t="str">
        <x:v>For Mediation</x:v>
      </x:c>
      <x:c r="K48" s="13" t="str">
        <x:v>KP_COVERED_AMICABLE</x:v>
      </x:c>
      <x:c r="L48" s="13" t="str">
        <x:v>Eligible for KP screening</x:v>
      </x:c>
      <x:c r="M48" s="13" t="str">
        <x:v>Proceed to barangay conciliation / mediation screening</x:v>
      </x:c>
      <x:c r="N48" s="13" t="str">
        <x:v>Local neighbor nuisance dispute.</x:v>
      </x:c>
      <x:c r="O48" s="13" t="str"/>
      <x:c r="P48" s="13" t="str">
        <x:v>Amoy ng kulungan ng manok na nakakaistorbo sa kapitbahay</x:v>
      </x:c>
      <x:c r="Q48" s="13" t="str">
        <x:v>Added to balance 'nuisance' to 49 examples using the same Justice KP label schema.</x:v>
      </x:c>
      <x:c r="R48" s="13" t="str">
        <x:v>Synthetic row based on category coverage gap from uploaded PDF</x:v>
      </x:c>
    </x:row>
    <x:row r="49" ht="36" customHeight="1">
      <x:c r="A49" s="13" t="str">
        <x:v>SYN-NUIS-044</x:v>
      </x:c>
      <x:c r="B49" s="13" t="str">
        <x:v>nuisance</x:v>
      </x:c>
      <x:c r="C49" s="13" t="str">
        <x:v>Synthetic</x:v>
      </x:c>
      <x:c r="D49" s="13" t="str"/>
      <x:c r="E49" s="13" t="str">
        <x:v>Civil</x:v>
      </x:c>
      <x:c r="F49" s="13" t="str">
        <x:v>Usok mula sa sinusunog na basura sa tabi ng bahay</x:v>
      </x:c>
      <x:c r="G49" s="13" t="str">
        <x:v>May 14, 2026</x:v>
      </x:c>
      <x:c r="H49" s="13" t="str">
        <x:v>-</x:v>
      </x:c>
      <x:c r="I49" s="13" t="str">
        <x:v>Synthetic example: parties are neighbors/residents; no prior court filing stated; for barangay mediation eligibility screening.</x:v>
      </x:c>
      <x:c r="J49" s="13" t="str">
        <x:v>For Mediation</x:v>
      </x:c>
      <x:c r="K49" s="13" t="str">
        <x:v>KP_COVERED_AMICABLE</x:v>
      </x:c>
      <x:c r="L49" s="13" t="str">
        <x:v>Eligible for KP screening</x:v>
      </x:c>
      <x:c r="M49" s="13" t="str">
        <x:v>Proceed to barangay conciliation / mediation screening</x:v>
      </x:c>
      <x:c r="N49" s="13" t="str">
        <x:v>Local neighbor nuisance dispute.</x:v>
      </x:c>
      <x:c r="O49" s="13" t="str"/>
      <x:c r="P49" s="13" t="str">
        <x:v>Usok mula sa sinusunog na basura sa tabi ng bahay</x:v>
      </x:c>
      <x:c r="Q49" s="13" t="str">
        <x:v>Added to balance 'nuisance' to 49 examples using the same Justice KP label schema.</x:v>
      </x:c>
      <x:c r="R49" s="13" t="str">
        <x:v>Synthetic row based on category coverage gap from uploaded PDF</x:v>
      </x:c>
    </x:row>
    <x:row r="50" ht="36" customHeight="1">
      <x:c r="A50" s="13" t="str">
        <x:v>SYN-NUIS-045</x:v>
      </x:c>
      <x:c r="B50" s="13" t="str">
        <x:v>nuisance</x:v>
      </x:c>
      <x:c r="C50" s="13" t="str">
        <x:v>Synthetic</x:v>
      </x:c>
      <x:c r="D50" s="13" t="str"/>
      <x:c r="E50" s="13" t="str">
        <x:v>Civil</x:v>
      </x:c>
      <x:c r="F50" s="13" t="str">
        <x:v>Pagparada ng sasakyan na nakaharang sa daanan</x:v>
      </x:c>
      <x:c r="G50" s="13" t="str">
        <x:v>May 17, 2026</x:v>
      </x:c>
      <x:c r="H50" s="13" t="str">
        <x:v>-</x:v>
      </x:c>
      <x:c r="I50" s="13" t="str">
        <x:v>Synthetic example: parties are neighbors/residents; no prior court filing stated; for barangay mediation eligibility screening.</x:v>
      </x:c>
      <x:c r="J50" s="13" t="str">
        <x:v>For Mediation</x:v>
      </x:c>
      <x:c r="K50" s="13" t="str">
        <x:v>KP_COVERED_AMICABLE</x:v>
      </x:c>
      <x:c r="L50" s="13" t="str">
        <x:v>Eligible for KP screening</x:v>
      </x:c>
      <x:c r="M50" s="13" t="str">
        <x:v>Proceed to barangay conciliation / mediation screening</x:v>
      </x:c>
      <x:c r="N50" s="13" t="str">
        <x:v>Local neighbor nuisance dispute.</x:v>
      </x:c>
      <x:c r="O50" s="13" t="str"/>
      <x:c r="P50" s="13" t="str">
        <x:v>Pagparada ng sasakyan na nakaharang sa daanan</x:v>
      </x:c>
      <x:c r="Q50" s="13" t="str">
        <x:v>Added to balance 'nuisance' to 49 examples using the same Justice KP label schema.</x:v>
      </x:c>
      <x:c r="R50" s="13" t="str">
        <x:v>Synthetic row based on category coverage gap from uploaded PDF</x:v>
      </x:c>
    </x:row>
  </x:sheetData>
  <x:pageMargins left="0.7" right="0.7" top="0.75" bottom="0.75" header="0.3" footer="0.3"/>
  <x:tableParts count="1">
    <x:tablePart xmlns:r="http://schemas.openxmlformats.org/officeDocument/2006/relationships" r:id="R87975afda78149a6"/>
  </x:tableParts>
</x:worksheet>
</file>

<file path=xl/worksheets/sheet8.xml><?xml version="1.0" encoding="utf-8"?>
<x:worksheet xmlns:x="http://schemas.openxmlformats.org/spreadsheetml/2006/main">
  <x:sheetFormatPr defaultRowHeight="15"/>
  <x:cols>
    <x:col min="1" max="1" width="18" hidden="0" customWidth="1"/>
    <x:col min="2" max="2" width="22" hidden="0" customWidth="1"/>
    <x:col min="3" max="3" width="13" hidden="0" customWidth="1"/>
    <x:col min="4" max="4" width="18" hidden="0" customWidth="1"/>
    <x:col min="5" max="5" width="18" hidden="0" customWidth="1"/>
    <x:col min="6" max="6" width="38" hidden="0" customWidth="1"/>
    <x:col min="7" max="7" width="17" hidden="0" customWidth="1"/>
    <x:col min="9" max="9" width="55" hidden="0" customWidth="1"/>
    <x:col min="11" max="11" width="24" hidden="0" customWidth="1"/>
    <x:col min="12" max="12" width="32" hidden="0" customWidth="1"/>
    <x:col min="13" max="13" width="42" hidden="0" customWidth="1"/>
    <x:col min="14" max="14" width="50" hidden="0" customWidth="1"/>
    <x:col min="17" max="17" width="50" hidden="0" customWidth="1"/>
    <x:col min="18" max="18" width="35" hidden="0" customWidth="1"/>
  </x:cols>
  <x:sheetData>
    <x:row r="1" ht="42" customHeight="1">
      <x:c r="A1" s="6" t="str">
        <x:v>case_id</x:v>
      </x:c>
      <x:c r="B1" s="6" t="str">
        <x:v>case_type</x:v>
      </x:c>
      <x:c r="C1" s="6" t="str">
        <x:v>source_type</x:v>
      </x:c>
      <x:c r="D1" s="6" t="str">
        <x:v>source_pdf_case_id</x:v>
      </x:c>
      <x:c r="E1" s="6" t="str">
        <x:v>original_dispute_category</x:v>
      </x:c>
      <x:c r="F1" s="6" t="str">
        <x:v>original_nature</x:v>
      </x:c>
      <x:c r="G1" s="6" t="str">
        <x:v>date_filed</x:v>
      </x:c>
      <x:c r="H1" s="6" t="str">
        <x:v>date_of_settlement_or_award</x:v>
      </x:c>
      <x:c r="I1" s="6" t="str">
        <x:v>conversation_status</x:v>
      </x:c>
      <x:c r="J1" s="6" t="str">
        <x:v>action_taken</x:v>
      </x:c>
      <x:c r="K1" s="6" t="str">
        <x:v>justice_kp_label</x:v>
      </x:c>
      <x:c r="L1" s="6" t="str">
        <x:v>kp_eligibility</x:v>
      </x:c>
      <x:c r="M1" s="6" t="str">
        <x:v>recommended_system_action</x:v>
      </x:c>
      <x:c r="N1" s="6" t="str">
        <x:v>label_reason</x:v>
      </x:c>
      <x:c r="O1" s="6" t="str">
        <x:v>amount_or_penalty_reference</x:v>
      </x:c>
      <x:c r="P1" s="6" t="str">
        <x:v>evidence_of_type</x:v>
      </x:c>
      <x:c r="Q1" s="6" t="str">
        <x:v>synthetic_generation_note</x:v>
      </x:c>
      <x:c r="R1" s="6" t="str">
        <x:v>source_file</x:v>
      </x:c>
    </x:row>
    <x:row r="2" ht="36" customHeight="1">
      <x:c r="A2" s="13" t="str">
        <x:v>KP-25-001-PSWT</x:v>
      </x:c>
      <x:c r="B2" s="13" t="str">
        <x:v>physical injury</x:v>
      </x:c>
      <x:c r="C2" s="13" t="str">
        <x:v>Real PDF</x:v>
      </x:c>
      <x:c r="D2" s="13" t="str">
        <x:v>KP-25-001-PSWT</x:v>
      </x:c>
      <x:c r="E2" s="13" t="str">
        <x:v>Criminal</x:v>
      </x:c>
      <x:c r="F2" s="13" t="str">
        <x:v>Pambubugbog ng kasamahan sa capitol compound</x:v>
      </x:c>
      <x:c r="G2" s="13" t="str">
        <x:v>January 2, 2025</x:v>
      </x:c>
      <x:c r="H2" s="13" t="str">
        <x:v>January 30, 2025</x:v>
      </x:c>
      <x:c r="I2" s="13" t="str">
        <x:v>Nagkaroon ng pagkakasundo na ibibigay ang halagang P20,000 ng ipinagsumbong sa maysumbong</x:v>
      </x:c>
      <x:c r="J2" s="13" t="str">
        <x:v>Settled</x:v>
      </x:c>
      <x:c r="K2" s="13" t="str">
        <x:v>KP_COVERED_AMICABLE</x:v>
      </x:c>
      <x:c r="L2" s="13" t="str">
        <x:v>Eligible for KP screening</x:v>
      </x:c>
      <x:c r="M2" s="13" t="str">
        <x:v>Proceed to barangay conciliation / mediation screening</x:v>
      </x:c>
      <x:c r="N2" s="13" t="str">
        <x:v>Minor physical injury or altercation example; system should still screen severity, weapons, and medical findings.</x:v>
      </x:c>
      <x:c r="O2" s="13" t="str">
        <x:v>P20,000</x:v>
      </x:c>
      <x:c r="P2" s="13" t="str">
        <x:v>Pambubugbog ng kasamahan sa capitol compound</x:v>
      </x:c>
      <x:c r="Q2" s="13" t="str"/>
      <x:c r="R2" s="13" t="str">
        <x:v>KP CASE PSWT - Sheet1 - KP CASE PSWT - Sheet1.pdf</x:v>
      </x:c>
    </x:row>
    <x:row r="3" ht="36" customHeight="1">
      <x:c r="A3" s="13" t="str">
        <x:v>KP-25-018-PSWT</x:v>
      </x:c>
      <x:c r="B3" s="13" t="str">
        <x:v>physical injury</x:v>
      </x:c>
      <x:c r="C3" s="13" t="str">
        <x:v>Real PDF</x:v>
      </x:c>
      <x:c r="D3" s="13" t="str">
        <x:v>KP-25-018-PSWT</x:v>
      </x:c>
      <x:c r="E3" s="13" t="str">
        <x:v>Criminal</x:v>
      </x:c>
      <x:c r="F3" s="13" t="str">
        <x:v>Pananakit</x:v>
      </x:c>
      <x:c r="G3" s="13" t="str">
        <x:v>February 13, 2025</x:v>
      </x:c>
      <x:c r="H3" s="13" t="str">
        <x:v>-</x:v>
      </x:c>
      <x:c r="I3" s="13" t="str">
        <x:v>Nagkaroon ng paghaharap subalit walang pagkakasundo. At ang maysumbong ay hindi na bumalik.</x:v>
      </x:c>
      <x:c r="J3" s="13" t="str">
        <x:v>Endorsed</x:v>
      </x:c>
      <x:c r="K3" s="13" t="str">
        <x:v>KP_COVERED_AMICABLE</x:v>
      </x:c>
      <x:c r="L3" s="13" t="str">
        <x:v>Eligible for KP screening</x:v>
      </x:c>
      <x:c r="M3" s="13" t="str">
        <x:v>Proceed to barangay conciliation / mediation screening</x:v>
      </x:c>
      <x:c r="N3" s="13" t="str">
        <x:v>Minor physical injury or altercation example; system should still screen severity, weapons, and medical findings.</x:v>
      </x:c>
      <x:c r="O3" s="13" t="str"/>
      <x:c r="P3" s="13" t="str">
        <x:v>Pananakit</x:v>
      </x:c>
      <x:c r="Q3" s="13" t="str"/>
      <x:c r="R3" s="13" t="str">
        <x:v>KP CASE PSWT - Sheet1 - KP CASE PSWT - Sheet1.pdf</x:v>
      </x:c>
    </x:row>
    <x:row r="4" ht="36" customHeight="1">
      <x:c r="A4" s="13" t="str">
        <x:v>KP-25-026-PSWT</x:v>
      </x:c>
      <x:c r="B4" s="13" t="str">
        <x:v>physical injury</x:v>
      </x:c>
      <x:c r="C4" s="13" t="str">
        <x:v>Real PDF</x:v>
      </x:c>
      <x:c r="D4" s="13" t="str">
        <x:v>KP-25-026-PSWT</x:v>
      </x:c>
      <x:c r="E4" s="13" t="str">
        <x:v>Criminal</x:v>
      </x:c>
      <x:c r="F4" s="13" t="str">
        <x:v>Pambubugbog</x:v>
      </x:c>
      <x:c r="G4" s="13" t="str">
        <x:v>March 12, 2025</x:v>
      </x:c>
      <x:c r="H4" s="13" t="str">
        <x:v>-</x:v>
      </x:c>
      <x:c r="I4" s="13" t="str">
        <x:v>Nagkaroon ng pagkakasundo humingi ng pasensya ang bawat isa at nangako na hindi na mauulit.</x:v>
      </x:c>
      <x:c r="J4" s="13" t="str">
        <x:v>Settled</x:v>
      </x:c>
      <x:c r="K4" s="13" t="str">
        <x:v>KP_COVERED_AMICABLE</x:v>
      </x:c>
      <x:c r="L4" s="13" t="str">
        <x:v>Eligible for KP screening</x:v>
      </x:c>
      <x:c r="M4" s="13" t="str">
        <x:v>Proceed to barangay conciliation / mediation screening</x:v>
      </x:c>
      <x:c r="N4" s="13" t="str">
        <x:v>Minor physical injury or altercation example; system should still screen severity, weapons, and medical findings.</x:v>
      </x:c>
      <x:c r="O4" s="13" t="str"/>
      <x:c r="P4" s="13" t="str">
        <x:v>Pambubugbog</x:v>
      </x:c>
      <x:c r="Q4" s="13" t="str"/>
      <x:c r="R4" s="13" t="str">
        <x:v>KP CASE PSWT - Sheet1 - KP CASE PSWT - Sheet1.pdf</x:v>
      </x:c>
    </x:row>
    <x:row r="5" ht="36" customHeight="1">
      <x:c r="A5" s="13" t="str">
        <x:v>KP-25-035-PSWT</x:v>
      </x:c>
      <x:c r="B5" s="13" t="str">
        <x:v>physical injury</x:v>
      </x:c>
      <x:c r="C5" s="13" t="str">
        <x:v>Real PDF</x:v>
      </x:c>
      <x:c r="D5" s="13" t="str">
        <x:v>KP-25-035-PSWT</x:v>
      </x:c>
      <x:c r="E5" s="13" t="str">
        <x:v>Criminal</x:v>
      </x:c>
      <x:c r="F5" s="13" t="str">
        <x:v>Panununtok</x:v>
      </x:c>
      <x:c r="G5" s="13" t="str">
        <x:v>March 31, 2025</x:v>
      </x:c>
      <x:c r="H5" s="13" t="str">
        <x:v>April 9, 2025</x:v>
      </x:c>
      <x:c r="I5" s="13" t="str">
        <x:v>Nagkaroon ng pagkakasundo humingi ng pasensya ang ipinagsumbong sa maysumbong at nangako na hindi na mauulit. Tinanggap ng maysumbong ang paghingi ng pasensya ng ipinagsusumbong.</x:v>
      </x:c>
      <x:c r="J5" s="13" t="str">
        <x:v>Settled</x:v>
      </x:c>
      <x:c r="K5" s="13" t="str">
        <x:v>KP_COVERED_AMICABLE</x:v>
      </x:c>
      <x:c r="L5" s="13" t="str">
        <x:v>Eligible for KP screening</x:v>
      </x:c>
      <x:c r="M5" s="13" t="str">
        <x:v>Proceed to barangay conciliation / mediation screening</x:v>
      </x:c>
      <x:c r="N5" s="13" t="str">
        <x:v>Minor physical injury or altercation example; system should still screen severity, weapons, and medical findings.</x:v>
      </x:c>
      <x:c r="O5" s="13" t="str"/>
      <x:c r="P5" s="13" t="str">
        <x:v>Panununtok</x:v>
      </x:c>
      <x:c r="Q5" s="13" t="str"/>
      <x:c r="R5" s="13" t="str">
        <x:v>KP CASE PSWT - Sheet1 - KP CASE PSWT - Sheet1.pdf</x:v>
      </x:c>
    </x:row>
    <x:row r="6" ht="36" customHeight="1">
      <x:c r="A6" s="13" t="str">
        <x:v>KP-25-037-PSWT</x:v>
      </x:c>
      <x:c r="B6" s="13" t="str">
        <x:v>physical injury</x:v>
      </x:c>
      <x:c r="C6" s="13" t="str">
        <x:v>Real PDF</x:v>
      </x:c>
      <x:c r="D6" s="13" t="str">
        <x:v>KP-25-037-PSWT</x:v>
      </x:c>
      <x:c r="E6" s="13" t="str">
        <x:v>Criminal</x:v>
      </x:c>
      <x:c r="F6" s="13" t="str">
        <x:v>Panununtok</x:v>
      </x:c>
      <x:c r="G6" s="13" t="str">
        <x:v>April 17, 2025</x:v>
      </x:c>
      <x:c r="H6" s="13" t="str">
        <x:v>-</x:v>
      </x:c>
      <x:c r="I6" s="13" t="str">
        <x:v>Walang pagkakasundo sa dalawang panig.</x:v>
      </x:c>
      <x:c r="J6" s="13" t="str">
        <x:v>Pending</x:v>
      </x:c>
      <x:c r="K6" s="13" t="str">
        <x:v>KP_COVERED_AMICABLE</x:v>
      </x:c>
      <x:c r="L6" s="13" t="str">
        <x:v>Eligible for KP screening</x:v>
      </x:c>
      <x:c r="M6" s="13" t="str">
        <x:v>Proceed to barangay conciliation / mediation screening</x:v>
      </x:c>
      <x:c r="N6" s="13" t="str">
        <x:v>Minor physical injury or altercation example; system should still screen severity, weapons, and medical findings.</x:v>
      </x:c>
      <x:c r="O6" s="13" t="str"/>
      <x:c r="P6" s="13" t="str">
        <x:v>Panununtok</x:v>
      </x:c>
      <x:c r="Q6" s="13" t="str"/>
      <x:c r="R6" s="13" t="str">
        <x:v>KP CASE PSWT - Sheet1 - KP CASE PSWT - Sheet1.pdf</x:v>
      </x:c>
    </x:row>
    <x:row r="7" ht="36" customHeight="1">
      <x:c r="A7" s="13" t="str">
        <x:v>KP-25-061-PSWT</x:v>
      </x:c>
      <x:c r="B7" s="13" t="str">
        <x:v>physical injury</x:v>
      </x:c>
      <x:c r="C7" s="13" t="str">
        <x:v>Real PDF</x:v>
      </x:c>
      <x:c r="D7" s="13" t="str">
        <x:v>KP-25-061-PSWT</x:v>
      </x:c>
      <x:c r="E7" s="13" t="str">
        <x:v>Criminal</x:v>
      </x:c>
      <x:c r="F7" s="13" t="str">
        <x:v>Pagbibintang na pinalo sa ulo ng tablet</x:v>
      </x:c>
      <x:c r="G7" s="13" t="str">
        <x:v>July 4, 2025</x:v>
      </x:c>
      <x:c r="H7" s="13" t="str">
        <x:v>July 16, 2025</x:v>
      </x:c>
      <x:c r="I7" s="13" t="str">
        <x:v>Walang pagkakasundo sa dalawang panig kaya't ang maysumbong ay may karapatan ng maghain ng kaukulang reklamo sa kinauukulang tanggapan.</x:v>
      </x:c>
      <x:c r="J7" s="13" t="str">
        <x:v>Pending</x:v>
      </x:c>
      <x:c r="K7" s="13" t="str">
        <x:v>KP_COVERED_AMICABLE</x:v>
      </x:c>
      <x:c r="L7" s="13" t="str">
        <x:v>Eligible for KP screening</x:v>
      </x:c>
      <x:c r="M7" s="13" t="str">
        <x:v>Proceed to barangay conciliation / mediation screening</x:v>
      </x:c>
      <x:c r="N7" s="13" t="str">
        <x:v>Minor physical injury or altercation example; system should still screen severity, weapons, and medical findings.</x:v>
      </x:c>
      <x:c r="O7" s="13" t="str"/>
      <x:c r="P7" s="13" t="str">
        <x:v>Pagbibintang na pinalo sa ulo ng tablet</x:v>
      </x:c>
      <x:c r="Q7" s="13" t="str"/>
      <x:c r="R7" s="13" t="str">
        <x:v>KP CASE PSWT - Sheet1 - KP CASE PSWT - Sheet1.pdf</x:v>
      </x:c>
    </x:row>
    <x:row r="8" ht="36" customHeight="1">
      <x:c r="A8" s="13" t="str">
        <x:v>KP-25-070-PSWT</x:v>
      </x:c>
      <x:c r="B8" s="13" t="str">
        <x:v>physical injury</x:v>
      </x:c>
      <x:c r="C8" s="13" t="str">
        <x:v>Real PDF</x:v>
      </x:c>
      <x:c r="D8" s="13" t="str">
        <x:v>KP-25-070-PSWT</x:v>
      </x:c>
      <x:c r="E8" s="13" t="str">
        <x:v>Criminal</x:v>
      </x:c>
      <x:c r="F8" s="13" t="str">
        <x:v>Panununtok sa liga ng basketball</x:v>
      </x:c>
      <x:c r="G8" s="13" t="str">
        <x:v>August 8, 2025</x:v>
      </x:c>
      <x:c r="H8" s="13" t="str">
        <x:v>-</x:v>
      </x:c>
      <x:c r="I8" s="13" t="str">
        <x:v>Walang pagkakasundo sa dalawang panig kaya't ang maysumbong ay may karapatan ng maghain ng kaukulang reklamo sa kinauukulang tanggapan.</x:v>
      </x:c>
      <x:c r="J8" s="13" t="str">
        <x:v>Endorsed</x:v>
      </x:c>
      <x:c r="K8" s="13" t="str">
        <x:v>KP_COVERED_AMICABLE</x:v>
      </x:c>
      <x:c r="L8" s="13" t="str">
        <x:v>Eligible for KP screening</x:v>
      </x:c>
      <x:c r="M8" s="13" t="str">
        <x:v>Proceed to barangay conciliation / mediation screening</x:v>
      </x:c>
      <x:c r="N8" s="13" t="str">
        <x:v>Minor physical injury or altercation example; system should still screen severity, weapons, and medical findings.</x:v>
      </x:c>
      <x:c r="O8" s="13" t="str"/>
      <x:c r="P8" s="13" t="str">
        <x:v>Panununtok sa liga ng basketball</x:v>
      </x:c>
      <x:c r="Q8" s="13" t="str"/>
      <x:c r="R8" s="13" t="str">
        <x:v>KP CASE PSWT - Sheet1 - KP CASE PSWT - Sheet1.pdf</x:v>
      </x:c>
    </x:row>
    <x:row r="9" ht="36" customHeight="1">
      <x:c r="A9" s="13" t="str">
        <x:v>KP-25-072-PSWT</x:v>
      </x:c>
      <x:c r="B9" s="13" t="str">
        <x:v>physical injury</x:v>
      </x:c>
      <x:c r="C9" s="13" t="str">
        <x:v>Real PDF</x:v>
      </x:c>
      <x:c r="D9" s="13" t="str">
        <x:v>KP-25-072-PSWT</x:v>
      </x:c>
      <x:c r="E9" s="13" t="str">
        <x:v>Criminal</x:v>
      </x:c>
      <x:c r="F9" s="13" t="str">
        <x:v>Physical injury at oral defamation</x:v>
      </x:c>
      <x:c r="G9" s="13" t="str">
        <x:v>August 11, 2025</x:v>
      </x:c>
      <x:c r="H9" s="13" t="str">
        <x:v>-</x:v>
      </x:c>
      <x:c r="I9" s="13" t="str">
        <x:v>Walang pagkakasundo subalit ang maysumbong ay nagsabi na lang na bayaran na lang ang utang sa bigas na kinuha na nagkakahalaga ng P5,300.</x:v>
      </x:c>
      <x:c r="J9" s="13" t="str">
        <x:v>Settled</x:v>
      </x:c>
      <x:c r="K9" s="13" t="str">
        <x:v>KP_COVERED_AMICABLE</x:v>
      </x:c>
      <x:c r="L9" s="13" t="str">
        <x:v>Eligible for KP screening</x:v>
      </x:c>
      <x:c r="M9" s="13" t="str">
        <x:v>Proceed to barangay conciliation / mediation screening</x:v>
      </x:c>
      <x:c r="N9" s="13" t="str">
        <x:v>Minor physical injury or altercation example; system should still screen severity, weapons, and medical findings.</x:v>
      </x:c>
      <x:c r="O9" s="13" t="str">
        <x:v>P5,300</x:v>
      </x:c>
      <x:c r="P9" s="13" t="str">
        <x:v>Physical injury at oral defamation</x:v>
      </x:c>
      <x:c r="Q9" s="13" t="str"/>
      <x:c r="R9" s="13" t="str">
        <x:v>KP CASE PSWT - Sheet1 - KP CASE PSWT - Sheet1.pdf</x:v>
      </x:c>
    </x:row>
    <x:row r="10" ht="36" customHeight="1">
      <x:c r="A10" s="13" t="str">
        <x:v>KP-25-073-PSWT</x:v>
      </x:c>
      <x:c r="B10" s="13" t="str">
        <x:v>physical injury</x:v>
      </x:c>
      <x:c r="C10" s="13" t="str">
        <x:v>Real PDF</x:v>
      </x:c>
      <x:c r="D10" s="13" t="str">
        <x:v>KP-25-073-PSWT</x:v>
      </x:c>
      <x:c r="E10" s="13" t="str">
        <x:v>Criminal</x:v>
      </x:c>
      <x:c r="F10" s="13" t="str">
        <x:v>Panununtok</x:v>
      </x:c>
      <x:c r="G10" s="13" t="str">
        <x:v>August 13, 2025</x:v>
      </x:c>
      <x:c r="H10" s="13" t="str">
        <x:v>August 26, 2025</x:v>
      </x:c>
      <x:c r="I10" s="13" t="str">
        <x:v>Walang pagkakasundo subalit ang maysumbong ay nagsabi na lang na bayaran na lang ang utang sa bigas na kinuha na nagkakahalaga ng P5,300.</x:v>
      </x:c>
      <x:c r="J10" s="13" t="str">
        <x:v>Settled</x:v>
      </x:c>
      <x:c r="K10" s="13" t="str">
        <x:v>KP_COVERED_AMICABLE</x:v>
      </x:c>
      <x:c r="L10" s="13" t="str">
        <x:v>Eligible for KP screening</x:v>
      </x:c>
      <x:c r="M10" s="13" t="str">
        <x:v>Proceed to barangay conciliation / mediation screening</x:v>
      </x:c>
      <x:c r="N10" s="13" t="str">
        <x:v>Minor physical injury or altercation example; system should still screen severity, weapons, and medical findings.</x:v>
      </x:c>
      <x:c r="O10" s="13" t="str">
        <x:v>P5,300</x:v>
      </x:c>
      <x:c r="P10" s="13" t="str">
        <x:v>Panununtok</x:v>
      </x:c>
      <x:c r="Q10" s="13" t="str"/>
      <x:c r="R10" s="13" t="str">
        <x:v>KP CASE PSWT - Sheet1 - KP CASE PSWT - Sheet1.pdf</x:v>
      </x:c>
    </x:row>
    <x:row r="11" ht="36" customHeight="1">
      <x:c r="A11" s="13" t="str">
        <x:v>KP-25-075-PSWT</x:v>
      </x:c>
      <x:c r="B11" s="13" t="str">
        <x:v>physical injury</x:v>
      </x:c>
      <x:c r="C11" s="13" t="str">
        <x:v>Real PDF</x:v>
      </x:c>
      <x:c r="D11" s="13" t="str">
        <x:v>KP-25-075-PSWT</x:v>
      </x:c>
      <x:c r="E11" s="13" t="str">
        <x:v>Criminal</x:v>
      </x:c>
      <x:c r="F11" s="13" t="str">
        <x:v>Panununtok</x:v>
      </x:c>
      <x:c r="G11" s="13" t="str">
        <x:v>August 3, 2025</x:v>
      </x:c>
      <x:c r="H11" s="13" t="str">
        <x:v>August 25, 2025</x:v>
      </x:c>
      <x:c r="I11" s="13" t="str">
        <x:v>Nagkaunawaan ang dalawang panig. Humingi ng pasensya ang ipinagsumbong at nangako na hindi na mauulit. Ang usapn ay tinatapos na.</x:v>
      </x:c>
      <x:c r="J11" s="13" t="str">
        <x:v>Settled</x:v>
      </x:c>
      <x:c r="K11" s="13" t="str">
        <x:v>KP_COVERED_AMICABLE</x:v>
      </x:c>
      <x:c r="L11" s="13" t="str">
        <x:v>Eligible for KP screening</x:v>
      </x:c>
      <x:c r="M11" s="13" t="str">
        <x:v>Proceed to barangay conciliation / mediation screening</x:v>
      </x:c>
      <x:c r="N11" s="13" t="str">
        <x:v>Minor physical injury or altercation example; system should still screen severity, weapons, and medical findings.</x:v>
      </x:c>
      <x:c r="O11" s="13" t="str"/>
      <x:c r="P11" s="13" t="str">
        <x:v>Panununtok</x:v>
      </x:c>
      <x:c r="Q11" s="13" t="str"/>
      <x:c r="R11" s="13" t="str">
        <x:v>KP CASE PSWT - Sheet1 - KP CASE PSWT - Sheet1.pdf</x:v>
      </x:c>
    </x:row>
    <x:row r="12" ht="36" customHeight="1">
      <x:c r="A12" s="13" t="str">
        <x:v>KP-25-086-PSWT</x:v>
      </x:c>
      <x:c r="B12" s="13" t="str">
        <x:v>physical injury</x:v>
      </x:c>
      <x:c r="C12" s="13" t="str">
        <x:v>Real PDF</x:v>
      </x:c>
      <x:c r="D12" s="13" t="str">
        <x:v>KP-25-086-PSWT</x:v>
      </x:c>
      <x:c r="E12" s="13" t="str">
        <x:v>Criminal</x:v>
      </x:c>
      <x:c r="F12" s="13" t="str">
        <x:v>Pambabato ng bahay</x:v>
      </x:c>
      <x:c r="G12" s="13" t="str">
        <x:v>October 5, 2025</x:v>
      </x:c>
      <x:c r="H12" s="13" t="str">
        <x:v>October 9, 2025</x:v>
      </x:c>
      <x:c r="I12" s="13" t="str">
        <x:v>Nagkaroon ng pagkakasundo sa dalawang panig. Pakiusap ng maysumbong na huwag magbabanta at ang aso ng ipinagsumbong ay iwasang palabasin para hindi tumae sa harapan ng bahay. Ganoon din ang pakiusap ng ipinagsumbong na huwag maninita ng nakainom at kung may problema ay kausapin siya.</x:v>
      </x:c>
      <x:c r="J12" s="13" t="str">
        <x:v>Settled</x:v>
      </x:c>
      <x:c r="K12" s="13" t="str">
        <x:v>KP_COVERED_AMICABLE</x:v>
      </x:c>
      <x:c r="L12" s="13" t="str">
        <x:v>Eligible for KP screening</x:v>
      </x:c>
      <x:c r="M12" s="13" t="str">
        <x:v>Proceed to barangay conciliation / mediation screening</x:v>
      </x:c>
      <x:c r="N12" s="13" t="str">
        <x:v>Minor physical injury or altercation example; system should still screen severity, weapons, and medical findings.</x:v>
      </x:c>
      <x:c r="O12" s="13" t="str"/>
      <x:c r="P12" s="13" t="str">
        <x:v>Pambabato ng bahay</x:v>
      </x:c>
      <x:c r="Q12" s="13" t="str"/>
      <x:c r="R12" s="13" t="str">
        <x:v>KP CASE PSWT - Sheet1 - KP CASE PSWT - Sheet1.pdf</x:v>
      </x:c>
    </x:row>
    <x:row r="13" ht="36" customHeight="1">
      <x:c r="A13" s="13" t="str">
        <x:v>KP-25-103-PSWT</x:v>
      </x:c>
      <x:c r="B13" s="13" t="str">
        <x:v>physical injury</x:v>
      </x:c>
      <x:c r="C13" s="13" t="str">
        <x:v>Real PDF</x:v>
      </x:c>
      <x:c r="D13" s="13" t="str">
        <x:v>KP-25-103-PSWT</x:v>
      </x:c>
      <x:c r="E13" s="13" t="str">
        <x:v>Criminal</x:v>
      </x:c>
      <x:c r="F13" s="13" t="str">
        <x:v>Pagmumura at pananakit</x:v>
      </x:c>
      <x:c r="G13" s="13" t="str">
        <x:v>November 17, 2025</x:v>
      </x:c>
      <x:c r="H13" s="13" t="str">
        <x:v>November 18, 2025</x:v>
      </x:c>
      <x:c r="I13" s="13" t="str">
        <x:v>Nagkaroon ng pagkakaunawaan at nangako ang bawait isa na mag-iiwasan na lang upang hindi na maulit ang nangyari. Tinatapos na ang usapin.</x:v>
      </x:c>
      <x:c r="J13" s="13" t="str">
        <x:v>Settled</x:v>
      </x:c>
      <x:c r="K13" s="13" t="str">
        <x:v>KP_COVERED_AMICABLE</x:v>
      </x:c>
      <x:c r="L13" s="13" t="str">
        <x:v>Eligible for KP screening</x:v>
      </x:c>
      <x:c r="M13" s="13" t="str">
        <x:v>Proceed to barangay conciliation / mediation screening</x:v>
      </x:c>
      <x:c r="N13" s="13" t="str">
        <x:v>Minor physical injury or altercation example; system should still screen severity, weapons, and medical findings.</x:v>
      </x:c>
      <x:c r="O13" s="13" t="str"/>
      <x:c r="P13" s="13" t="str">
        <x:v>Pagmumura at pananakit</x:v>
      </x:c>
      <x:c r="Q13" s="13" t="str"/>
      <x:c r="R13" s="13" t="str">
        <x:v>KP CASE PSWT - Sheet1 - KP CASE PSWT - Sheet1.pdf</x:v>
      </x:c>
    </x:row>
    <x:row r="14" ht="36" customHeight="1">
      <x:c r="A14" s="13" t="str">
        <x:v>KP-25-104-PSWT</x:v>
      </x:c>
      <x:c r="B14" s="13" t="str">
        <x:v>physical injury</x:v>
      </x:c>
      <x:c r="C14" s="13" t="str">
        <x:v>Real PDF</x:v>
      </x:c>
      <x:c r="D14" s="13" t="str">
        <x:v>KP-25-104-PSWT</x:v>
      </x:c>
      <x:c r="E14" s="13" t="str">
        <x:v>Criminal</x:v>
      </x:c>
      <x:c r="F14" s="13" t="str">
        <x:v>Pang-aaway at pagmumura</x:v>
      </x:c>
      <x:c r="G14" s="13" t="str">
        <x:v>November 18, 2025</x:v>
      </x:c>
      <x:c r="H14" s="13" t="str">
        <x:v>-</x:v>
      </x:c>
      <x:c r="I14" s="13" t="str">
        <x:v>Nagkaroon ng paglilinaw kaya't ang bawat isa ay humingi ng pasensya. Sinabi ng ipinagsumbong na hihingi din siya ng pasensya sa ama ng maysumbong.</x:v>
      </x:c>
      <x:c r="J14" s="13" t="str">
        <x:v>Settled</x:v>
      </x:c>
      <x:c r="K14" s="13" t="str">
        <x:v>KP_COVERED_AMICABLE</x:v>
      </x:c>
      <x:c r="L14" s="13" t="str">
        <x:v>Eligible for KP screening</x:v>
      </x:c>
      <x:c r="M14" s="13" t="str">
        <x:v>Proceed to barangay conciliation / mediation screening</x:v>
      </x:c>
      <x:c r="N14" s="13" t="str">
        <x:v>Minor physical injury or altercation example; system should still screen severity, weapons, and medical findings.</x:v>
      </x:c>
      <x:c r="O14" s="13" t="str"/>
      <x:c r="P14" s="13" t="str">
        <x:v>Pang-aaway at pagmumura</x:v>
      </x:c>
      <x:c r="Q14" s="13" t="str"/>
      <x:c r="R14" s="13" t="str">
        <x:v>KP CASE PSWT - Sheet1 - KP CASE PSWT - Sheet1.pdf</x:v>
      </x:c>
    </x:row>
    <x:row r="15" ht="36" customHeight="1">
      <x:c r="A15" s="13" t="str">
        <x:v>KP-25-109-PSWT</x:v>
      </x:c>
      <x:c r="B15" s="13" t="str">
        <x:v>physical injury</x:v>
      </x:c>
      <x:c r="C15" s="13" t="str">
        <x:v>Real PDF</x:v>
      </x:c>
      <x:c r="D15" s="13" t="str">
        <x:v>KP-25-109-PSWT</x:v>
      </x:c>
      <x:c r="E15" s="13" t="str">
        <x:v>Criminal</x:v>
      </x:c>
      <x:c r="F15" s="13" t="str">
        <x:v>Panununtok</x:v>
      </x:c>
      <x:c r="G15" s="13" t="str">
        <x:v>December 8, 2025</x:v>
      </x:c>
      <x:c r="H15" s="13" t="str">
        <x:v>-</x:v>
      </x:c>
      <x:c r="I15" s="13" t="str">
        <x:v>Ang ipinagsumbong ay hindi dumadating sa oras ng paghaharap at hindi na din bumalik ang maysumbong.</x:v>
      </x:c>
      <x:c r="J15" s="13" t="str">
        <x:v>Dismiss</x:v>
      </x:c>
      <x:c r="K15" s="13" t="str">
        <x:v>KP_COVERED_AMICABLE</x:v>
      </x:c>
      <x:c r="L15" s="13" t="str">
        <x:v>Eligible for KP screening</x:v>
      </x:c>
      <x:c r="M15" s="13" t="str">
        <x:v>Proceed to barangay conciliation / mediation screening</x:v>
      </x:c>
      <x:c r="N15" s="13" t="str">
        <x:v>Minor physical injury or altercation example; system should still screen severity, weapons, and medical findings.</x:v>
      </x:c>
      <x:c r="O15" s="13" t="str"/>
      <x:c r="P15" s="13" t="str">
        <x:v>Panununtok</x:v>
      </x:c>
      <x:c r="Q15" s="13" t="str"/>
      <x:c r="R15" s="13" t="str">
        <x:v>KP CASE PSWT - Sheet1 - KP CASE PSWT - Sheet1.pdf</x:v>
      </x:c>
    </x:row>
    <x:row r="16" ht="36" customHeight="1">
      <x:c r="A16" s="13" t="str">
        <x:v>KP-25-114-PSWT</x:v>
      </x:c>
      <x:c r="B16" s="13" t="str">
        <x:v>physical injury</x:v>
      </x:c>
      <x:c r="C16" s="13" t="str">
        <x:v>Real PDF</x:v>
      </x:c>
      <x:c r="D16" s="13" t="str">
        <x:v>KP-25-114-PSWT</x:v>
      </x:c>
      <x:c r="E16" s="13" t="str">
        <x:v>Criminal</x:v>
      </x:c>
      <x:c r="F16" s="13" t="str">
        <x:v>Pananakit</x:v>
      </x:c>
      <x:c r="G16" s="13" t="str">
        <x:v>December 15, 2025</x:v>
      </x:c>
      <x:c r="H16" s="13" t="str">
        <x:v>-</x:v>
      </x:c>
      <x:c r="I16" s="13" t="str">
        <x:v>Nagkaroon ng pagkakaunawaan sa bawat isa. Pakiusap ng maysumbong na kapag nakita sila ng anak ng maysumbong ay huwag namang hahamunin. Ang usapin ay tinatapos na.</x:v>
      </x:c>
      <x:c r="J16" s="13" t="str">
        <x:v>Settled</x:v>
      </x:c>
      <x:c r="K16" s="13" t="str">
        <x:v>KP_COVERED_AMICABLE</x:v>
      </x:c>
      <x:c r="L16" s="13" t="str">
        <x:v>Eligible for KP screening</x:v>
      </x:c>
      <x:c r="M16" s="13" t="str">
        <x:v>Proceed to barangay conciliation / mediation screening</x:v>
      </x:c>
      <x:c r="N16" s="13" t="str">
        <x:v>Minor physical injury or altercation example; system should still screen severity, weapons, and medical findings.</x:v>
      </x:c>
      <x:c r="O16" s="13" t="str"/>
      <x:c r="P16" s="13" t="str">
        <x:v>Pananakit</x:v>
      </x:c>
      <x:c r="Q16" s="13" t="str"/>
      <x:c r="R16" s="13" t="str">
        <x:v>KP CASE PSWT - Sheet1 - KP CASE PSWT - Sheet1.pdf</x:v>
      </x:c>
    </x:row>
    <x:row r="17" ht="36" customHeight="1">
      <x:c r="A17" s="13" t="str">
        <x:v>SYN-INJ-001</x:v>
      </x:c>
      <x:c r="B17" s="13" t="str">
        <x:v>physical injury</x:v>
      </x:c>
      <x:c r="C17" s="13" t="str">
        <x:v>Synthetic</x:v>
      </x:c>
      <x:c r="D17" s="13" t="str"/>
      <x:c r="E17" s="13" t="str">
        <x:v>Criminal</x:v>
      </x:c>
      <x:c r="F17" s="13" t="str">
        <x:v>Panunulak na nagdulot ng pasa sa braso</x:v>
      </x:c>
      <x:c r="G17" s="13" t="str">
        <x:v>January 6, 2026</x:v>
      </x:c>
      <x:c r="H17" s="13" t="str">
        <x:v>-</x:v>
      </x:c>
      <x:c r="I17" s="13" t="str">
        <x:v>Synthetic example: no weapon or serious medical finding stated; system must still screen severity and immediate danger.</x:v>
      </x:c>
      <x:c r="J17" s="13" t="str">
        <x:v>For Screening</x:v>
      </x:c>
      <x:c r="K17" s="13" t="str">
        <x:v>KP_COVERED_AMICABLE</x:v>
      </x:c>
      <x:c r="L17" s="13" t="str">
        <x:v>Eligible for KP screening with severity check</x:v>
      </x:c>
      <x:c r="M17" s="13" t="str">
        <x:v>Screen severity/weapon/medical findings, then mediate only if legally eligible</x:v>
      </x:c>
      <x:c r="N17" s="13" t="str">
        <x:v>Possible minor physical injury; requires severity screening.</x:v>
      </x:c>
      <x:c r="O17" s="13" t="str"/>
      <x:c r="P17" s="13" t="str">
        <x:v>Panunulak na nagdulot ng pasa sa braso</x:v>
      </x:c>
      <x:c r="Q17" s="13" t="str">
        <x:v>Added to balance 'physical injury' to 49 examples using the same Justice KP label schema.</x:v>
      </x:c>
      <x:c r="R17" s="13" t="str">
        <x:v>Synthetic row based on category coverage gap from uploaded PDF</x:v>
      </x:c>
    </x:row>
    <x:row r="18" ht="36" customHeight="1">
      <x:c r="A18" s="13" t="str">
        <x:v>SYN-INJ-002</x:v>
      </x:c>
      <x:c r="B18" s="13" t="str">
        <x:v>physical injury</x:v>
      </x:c>
      <x:c r="C18" s="13" t="str">
        <x:v>Synthetic</x:v>
      </x:c>
      <x:c r="D18" s="13" t="str"/>
      <x:c r="E18" s="13" t="str">
        <x:v>Criminal</x:v>
      </x:c>
      <x:c r="F18" s="13" t="str">
        <x:v>Panununtok matapos ang pagtatalo sa basketball court</x:v>
      </x:c>
      <x:c r="G18" s="13" t="str">
        <x:v>January 9, 2026</x:v>
      </x:c>
      <x:c r="H18" s="13" t="str">
        <x:v>-</x:v>
      </x:c>
      <x:c r="I18" s="13" t="str">
        <x:v>Synthetic example: no weapon or serious medical finding stated; system must still screen severity and immediate danger.</x:v>
      </x:c>
      <x:c r="J18" s="13" t="str">
        <x:v>For Screening</x:v>
      </x:c>
      <x:c r="K18" s="13" t="str">
        <x:v>KP_COVERED_AMICABLE</x:v>
      </x:c>
      <x:c r="L18" s="13" t="str">
        <x:v>Eligible for KP screening with severity check</x:v>
      </x:c>
      <x:c r="M18" s="13" t="str">
        <x:v>Screen severity/weapon/medical findings, then mediate only if legally eligible</x:v>
      </x:c>
      <x:c r="N18" s="13" t="str">
        <x:v>Possible minor physical injury; requires severity screening.</x:v>
      </x:c>
      <x:c r="O18" s="13" t="str"/>
      <x:c r="P18" s="13" t="str">
        <x:v>Panununtok matapos ang pagtatalo sa basketball court</x:v>
      </x:c>
      <x:c r="Q18" s="13" t="str">
        <x:v>Added to balance 'physical injury' to 49 examples using the same Justice KP label schema.</x:v>
      </x:c>
      <x:c r="R18" s="13" t="str">
        <x:v>Synthetic row based on category coverage gap from uploaded PDF</x:v>
      </x:c>
    </x:row>
    <x:row r="19" ht="36" customHeight="1">
      <x:c r="A19" s="13" t="str">
        <x:v>SYN-INJ-003</x:v>
      </x:c>
      <x:c r="B19" s="13" t="str">
        <x:v>physical injury</x:v>
      </x:c>
      <x:c r="C19" s="13" t="str">
        <x:v>Synthetic</x:v>
      </x:c>
      <x:c r="D19" s="13" t="str"/>
      <x:c r="E19" s="13" t="str">
        <x:v>Criminal</x:v>
      </x:c>
      <x:c r="F19" s="13" t="str">
        <x:v>Pananakit sa kapitbahay habang nag-aaway sa daanan</x:v>
      </x:c>
      <x:c r="G19" s="13" t="str">
        <x:v>January 12, 2026</x:v>
      </x:c>
      <x:c r="H19" s="13" t="str">
        <x:v>-</x:v>
      </x:c>
      <x:c r="I19" s="13" t="str">
        <x:v>Synthetic example: no weapon or serious medical finding stated; system must still screen severity and immediate danger.</x:v>
      </x:c>
      <x:c r="J19" s="13" t="str">
        <x:v>For Screening</x:v>
      </x:c>
      <x:c r="K19" s="13" t="str">
        <x:v>KP_COVERED_AMICABLE</x:v>
      </x:c>
      <x:c r="L19" s="13" t="str">
        <x:v>Eligible for KP screening with severity check</x:v>
      </x:c>
      <x:c r="M19" s="13" t="str">
        <x:v>Screen severity/weapon/medical findings, then mediate only if legally eligible</x:v>
      </x:c>
      <x:c r="N19" s="13" t="str">
        <x:v>Possible minor physical injury; requires severity screening.</x:v>
      </x:c>
      <x:c r="O19" s="13" t="str"/>
      <x:c r="P19" s="13" t="str">
        <x:v>Pananakit sa kapitbahay habang nag-aaway sa daanan</x:v>
      </x:c>
      <x:c r="Q19" s="13" t="str">
        <x:v>Added to balance 'physical injury' to 49 examples using the same Justice KP label schema.</x:v>
      </x:c>
      <x:c r="R19" s="13" t="str">
        <x:v>Synthetic row based on category coverage gap from uploaded PDF</x:v>
      </x:c>
    </x:row>
    <x:row r="20" ht="36" customHeight="1">
      <x:c r="A20" s="13" t="str">
        <x:v>SYN-INJ-004</x:v>
      </x:c>
      <x:c r="B20" s="13" t="str">
        <x:v>physical injury</x:v>
      </x:c>
      <x:c r="C20" s="13" t="str">
        <x:v>Synthetic</x:v>
      </x:c>
      <x:c r="D20" s="13" t="str"/>
      <x:c r="E20" s="13" t="str">
        <x:v>Criminal</x:v>
      </x:c>
      <x:c r="F20" s="13" t="str">
        <x:v>Pambabato ng maliit na bagay na tumama sa balikat</x:v>
      </x:c>
      <x:c r="G20" s="13" t="str">
        <x:v>January 15, 2026</x:v>
      </x:c>
      <x:c r="H20" s="13" t="str">
        <x:v>-</x:v>
      </x:c>
      <x:c r="I20" s="13" t="str">
        <x:v>Synthetic example: no weapon or serious medical finding stated; system must still screen severity and immediate danger.</x:v>
      </x:c>
      <x:c r="J20" s="13" t="str">
        <x:v>For Screening</x:v>
      </x:c>
      <x:c r="K20" s="13" t="str">
        <x:v>KP_COVERED_AMICABLE</x:v>
      </x:c>
      <x:c r="L20" s="13" t="str">
        <x:v>Eligible for KP screening with severity check</x:v>
      </x:c>
      <x:c r="M20" s="13" t="str">
        <x:v>Screen severity/weapon/medical findings, then mediate only if legally eligible</x:v>
      </x:c>
      <x:c r="N20" s="13" t="str">
        <x:v>Possible minor physical injury; requires severity screening.</x:v>
      </x:c>
      <x:c r="O20" s="13" t="str"/>
      <x:c r="P20" s="13" t="str">
        <x:v>Pambabato ng maliit na bagay na tumama sa balikat</x:v>
      </x:c>
      <x:c r="Q20" s="13" t="str">
        <x:v>Added to balance 'physical injury' to 49 examples using the same Justice KP label schema.</x:v>
      </x:c>
      <x:c r="R20" s="13" t="str">
        <x:v>Synthetic row based on category coverage gap from uploaded PDF</x:v>
      </x:c>
    </x:row>
    <x:row r="21" ht="36" customHeight="1">
      <x:c r="A21" s="13" t="str">
        <x:v>SYN-INJ-005</x:v>
      </x:c>
      <x:c r="B21" s="13" t="str">
        <x:v>physical injury</x:v>
      </x:c>
      <x:c r="C21" s="13" t="str">
        <x:v>Synthetic</x:v>
      </x:c>
      <x:c r="D21" s="13" t="str"/>
      <x:c r="E21" s="13" t="str">
        <x:v>Criminal</x:v>
      </x:c>
      <x:c r="F21" s="13" t="str">
        <x:v>Pagsampal matapos ang mainitang pagtatalo</x:v>
      </x:c>
      <x:c r="G21" s="13" t="str">
        <x:v>January 18, 2026</x:v>
      </x:c>
      <x:c r="H21" s="13" t="str">
        <x:v>-</x:v>
      </x:c>
      <x:c r="I21" s="13" t="str">
        <x:v>Synthetic example: no weapon or serious medical finding stated; system must still screen severity and immediate danger.</x:v>
      </x:c>
      <x:c r="J21" s="13" t="str">
        <x:v>For Screening</x:v>
      </x:c>
      <x:c r="K21" s="13" t="str">
        <x:v>KP_COVERED_AMICABLE</x:v>
      </x:c>
      <x:c r="L21" s="13" t="str">
        <x:v>Eligible for KP screening with severity check</x:v>
      </x:c>
      <x:c r="M21" s="13" t="str">
        <x:v>Screen severity/weapon/medical findings, then mediate only if legally eligible</x:v>
      </x:c>
      <x:c r="N21" s="13" t="str">
        <x:v>Possible minor physical injury; requires severity screening.</x:v>
      </x:c>
      <x:c r="O21" s="13" t="str"/>
      <x:c r="P21" s="13" t="str">
        <x:v>Pagsampal matapos ang mainitang pagtatalo</x:v>
      </x:c>
      <x:c r="Q21" s="13" t="str">
        <x:v>Added to balance 'physical injury' to 49 examples using the same Justice KP label schema.</x:v>
      </x:c>
      <x:c r="R21" s="13" t="str">
        <x:v>Synthetic row based on category coverage gap from uploaded PDF</x:v>
      </x:c>
    </x:row>
    <x:row r="22" ht="36" customHeight="1">
      <x:c r="A22" s="13" t="str">
        <x:v>SYN-INJ-006</x:v>
      </x:c>
      <x:c r="B22" s="13" t="str">
        <x:v>physical injury</x:v>
      </x:c>
      <x:c r="C22" s="13" t="str">
        <x:v>Synthetic</x:v>
      </x:c>
      <x:c r="D22" s="13" t="str"/>
      <x:c r="E22" s="13" t="str">
        <x:v>Criminal</x:v>
      </x:c>
      <x:c r="F22" s="13" t="str">
        <x:v>Pagkakasakitan sa pila sa tindahan</x:v>
      </x:c>
      <x:c r="G22" s="13" t="str">
        <x:v>January 21, 2026</x:v>
      </x:c>
      <x:c r="H22" s="13" t="str">
        <x:v>-</x:v>
      </x:c>
      <x:c r="I22" s="13" t="str">
        <x:v>Synthetic example: no weapon or serious medical finding stated; system must still screen severity and immediate danger.</x:v>
      </x:c>
      <x:c r="J22" s="13" t="str">
        <x:v>For Screening</x:v>
      </x:c>
      <x:c r="K22" s="13" t="str">
        <x:v>KP_COVERED_AMICABLE</x:v>
      </x:c>
      <x:c r="L22" s="13" t="str">
        <x:v>Eligible for KP screening with severity check</x:v>
      </x:c>
      <x:c r="M22" s="13" t="str">
        <x:v>Screen severity/weapon/medical findings, then mediate only if legally eligible</x:v>
      </x:c>
      <x:c r="N22" s="13" t="str">
        <x:v>Possible minor physical injury; requires severity screening.</x:v>
      </x:c>
      <x:c r="O22" s="13" t="str"/>
      <x:c r="P22" s="13" t="str">
        <x:v>Pagkakasakitan sa pila sa tindahan</x:v>
      </x:c>
      <x:c r="Q22" s="13" t="str">
        <x:v>Added to balance 'physical injury' to 49 examples using the same Justice KP label schema.</x:v>
      </x:c>
      <x:c r="R22" s="13" t="str">
        <x:v>Synthetic row based on category coverage gap from uploaded PDF</x:v>
      </x:c>
    </x:row>
    <x:row r="23" ht="36" customHeight="1">
      <x:c r="A23" s="13" t="str">
        <x:v>SYN-INJ-007</x:v>
      </x:c>
      <x:c r="B23" s="13" t="str">
        <x:v>physical injury</x:v>
      </x:c>
      <x:c r="C23" s="13" t="str">
        <x:v>Synthetic</x:v>
      </x:c>
      <x:c r="D23" s="13" t="str"/>
      <x:c r="E23" s="13" t="str">
        <x:v>Criminal</x:v>
      </x:c>
      <x:c r="F23" s="13" t="str">
        <x:v>Paninipa sa binti habang nag-aaway ang magkakapitbahay</x:v>
      </x:c>
      <x:c r="G23" s="13" t="str">
        <x:v>January 24, 2026</x:v>
      </x:c>
      <x:c r="H23" s="13" t="str">
        <x:v>-</x:v>
      </x:c>
      <x:c r="I23" s="13" t="str">
        <x:v>Synthetic example: no weapon or serious medical finding stated; system must still screen severity and immediate danger.</x:v>
      </x:c>
      <x:c r="J23" s="13" t="str">
        <x:v>For Screening</x:v>
      </x:c>
      <x:c r="K23" s="13" t="str">
        <x:v>KP_COVERED_AMICABLE</x:v>
      </x:c>
      <x:c r="L23" s="13" t="str">
        <x:v>Eligible for KP screening with severity check</x:v>
      </x:c>
      <x:c r="M23" s="13" t="str">
        <x:v>Screen severity/weapon/medical findings, then mediate only if legally eligible</x:v>
      </x:c>
      <x:c r="N23" s="13" t="str">
        <x:v>Possible minor physical injury; requires severity screening.</x:v>
      </x:c>
      <x:c r="O23" s="13" t="str"/>
      <x:c r="P23" s="13" t="str">
        <x:v>Paninipa sa binti habang nag-aaway ang magkakapitbahay</x:v>
      </x:c>
      <x:c r="Q23" s="13" t="str">
        <x:v>Added to balance 'physical injury' to 49 examples using the same Justice KP label schema.</x:v>
      </x:c>
      <x:c r="R23" s="13" t="str">
        <x:v>Synthetic row based on category coverage gap from uploaded PDF</x:v>
      </x:c>
    </x:row>
    <x:row r="24" ht="36" customHeight="1">
      <x:c r="A24" s="13" t="str">
        <x:v>SYN-INJ-008</x:v>
      </x:c>
      <x:c r="B24" s="13" t="str">
        <x:v>physical injury</x:v>
      </x:c>
      <x:c r="C24" s="13" t="str">
        <x:v>Synthetic</x:v>
      </x:c>
      <x:c r="D24" s="13" t="str"/>
      <x:c r="E24" s="13" t="str">
        <x:v>Criminal</x:v>
      </x:c>
      <x:c r="F24" s="13" t="str">
        <x:v>Paghila at panunulak sa loob ng compound</x:v>
      </x:c>
      <x:c r="G24" s="13" t="str">
        <x:v>January 27, 2026</x:v>
      </x:c>
      <x:c r="H24" s="13" t="str">
        <x:v>-</x:v>
      </x:c>
      <x:c r="I24" s="13" t="str">
        <x:v>Synthetic example: no weapon or serious medical finding stated; system must still screen severity and immediate danger.</x:v>
      </x:c>
      <x:c r="J24" s="13" t="str">
        <x:v>For Screening</x:v>
      </x:c>
      <x:c r="K24" s="13" t="str">
        <x:v>KP_COVERED_AMICABLE</x:v>
      </x:c>
      <x:c r="L24" s="13" t="str">
        <x:v>Eligible for KP screening with severity check</x:v>
      </x:c>
      <x:c r="M24" s="13" t="str">
        <x:v>Screen severity/weapon/medical findings, then mediate only if legally eligible</x:v>
      </x:c>
      <x:c r="N24" s="13" t="str">
        <x:v>Possible minor physical injury; requires severity screening.</x:v>
      </x:c>
      <x:c r="O24" s="13" t="str"/>
      <x:c r="P24" s="13" t="str">
        <x:v>Paghila at panunulak sa loob ng compound</x:v>
      </x:c>
      <x:c r="Q24" s="13" t="str">
        <x:v>Added to balance 'physical injury' to 49 examples using the same Justice KP label schema.</x:v>
      </x:c>
      <x:c r="R24" s="13" t="str">
        <x:v>Synthetic row based on category coverage gap from uploaded PDF</x:v>
      </x:c>
    </x:row>
    <x:row r="25" ht="36" customHeight="1">
      <x:c r="A25" s="13" t="str">
        <x:v>SYN-INJ-009</x:v>
      </x:c>
      <x:c r="B25" s="13" t="str">
        <x:v>physical injury</x:v>
      </x:c>
      <x:c r="C25" s="13" t="str">
        <x:v>Synthetic</x:v>
      </x:c>
      <x:c r="D25" s="13" t="str"/>
      <x:c r="E25" s="13" t="str">
        <x:v>Criminal</x:v>
      </x:c>
      <x:c r="F25" s="13" t="str">
        <x:v>Pananakit sa menor de edad na dapat i-screen kung child-protection issue</x:v>
      </x:c>
      <x:c r="G25" s="13" t="str">
        <x:v>January 30, 2026</x:v>
      </x:c>
      <x:c r="H25" s="13" t="str">
        <x:v>-</x:v>
      </x:c>
      <x:c r="I25" s="13" t="str">
        <x:v>Synthetic example: no weapon or serious medical finding stated; system must still screen severity and immediate danger.</x:v>
      </x:c>
      <x:c r="J25" s="13" t="str">
        <x:v>For Screening</x:v>
      </x:c>
      <x:c r="K25" s="13" t="str">
        <x:v>KP_COVERED_AMICABLE</x:v>
      </x:c>
      <x:c r="L25" s="13" t="str">
        <x:v>Eligible for KP screening with severity check</x:v>
      </x:c>
      <x:c r="M25" s="13" t="str">
        <x:v>Screen severity/weapon/medical findings, then mediate only if legally eligible</x:v>
      </x:c>
      <x:c r="N25" s="13" t="str">
        <x:v>Possible minor physical injury; requires severity screening.</x:v>
      </x:c>
      <x:c r="O25" s="13" t="str"/>
      <x:c r="P25" s="13" t="str">
        <x:v>Pananakit sa menor de edad na dapat i-screen kung child-protection issue</x:v>
      </x:c>
      <x:c r="Q25" s="13" t="str">
        <x:v>Added to balance 'physical injury' to 49 examples using the same Justice KP label schema.</x:v>
      </x:c>
      <x:c r="R25" s="13" t="str">
        <x:v>Synthetic row based on category coverage gap from uploaded PDF</x:v>
      </x:c>
    </x:row>
    <x:row r="26" ht="36" customHeight="1">
      <x:c r="A26" s="13" t="str">
        <x:v>SYN-INJ-010</x:v>
      </x:c>
      <x:c r="B26" s="13" t="str">
        <x:v>physical injury</x:v>
      </x:c>
      <x:c r="C26" s="13" t="str">
        <x:v>Synthetic</x:v>
      </x:c>
      <x:c r="D26" s="13" t="str"/>
      <x:c r="E26" s="13" t="str">
        <x:v>Criminal</x:v>
      </x:c>
      <x:c r="F26" s="13" t="str">
        <x:v>Pambubugbog na walang sandata ngunit may reklamo sa barangay</x:v>
      </x:c>
      <x:c r="G26" s="13" t="str">
        <x:v>February 2, 2026</x:v>
      </x:c>
      <x:c r="H26" s="13" t="str">
        <x:v>-</x:v>
      </x:c>
      <x:c r="I26" s="13" t="str">
        <x:v>Synthetic example: no weapon or serious medical finding stated; system must still screen severity and immediate danger.</x:v>
      </x:c>
      <x:c r="J26" s="13" t="str">
        <x:v>For Screening</x:v>
      </x:c>
      <x:c r="K26" s="13" t="str">
        <x:v>KP_COVERED_AMICABLE</x:v>
      </x:c>
      <x:c r="L26" s="13" t="str">
        <x:v>Eligible for KP screening with severity check</x:v>
      </x:c>
      <x:c r="M26" s="13" t="str">
        <x:v>Screen severity/weapon/medical findings, then mediate only if legally eligible</x:v>
      </x:c>
      <x:c r="N26" s="13" t="str">
        <x:v>Possible minor physical injury; requires severity screening.</x:v>
      </x:c>
      <x:c r="O26" s="13" t="str"/>
      <x:c r="P26" s="13" t="str">
        <x:v>Pambubugbog na walang sandata ngunit may reklamo sa barangay</x:v>
      </x:c>
      <x:c r="Q26" s="13" t="str">
        <x:v>Added to balance 'physical injury' to 49 examples using the same Justice KP label schema.</x:v>
      </x:c>
      <x:c r="R26" s="13" t="str">
        <x:v>Synthetic row based on category coverage gap from uploaded PDF</x:v>
      </x:c>
    </x:row>
    <x:row r="27" ht="36" customHeight="1">
      <x:c r="A27" s="13" t="str">
        <x:v>SYN-INJ-011</x:v>
      </x:c>
      <x:c r="B27" s="13" t="str">
        <x:v>physical injury</x:v>
      </x:c>
      <x:c r="C27" s="13" t="str">
        <x:v>Synthetic</x:v>
      </x:c>
      <x:c r="D27" s="13" t="str"/>
      <x:c r="E27" s="13" t="str">
        <x:v>Criminal</x:v>
      </x:c>
      <x:c r="F27" s="13" t="str">
        <x:v>Panunulak na nagdulot ng pasa sa braso</x:v>
      </x:c>
      <x:c r="G27" s="13" t="str">
        <x:v>February 5, 2026</x:v>
      </x:c>
      <x:c r="H27" s="13" t="str">
        <x:v>-</x:v>
      </x:c>
      <x:c r="I27" s="13" t="str">
        <x:v>Synthetic example: no weapon or serious medical finding stated; system must still screen severity and immediate danger.</x:v>
      </x:c>
      <x:c r="J27" s="13" t="str">
        <x:v>For Screening</x:v>
      </x:c>
      <x:c r="K27" s="13" t="str">
        <x:v>KP_COVERED_AMICABLE</x:v>
      </x:c>
      <x:c r="L27" s="13" t="str">
        <x:v>Eligible for KP screening with severity check</x:v>
      </x:c>
      <x:c r="M27" s="13" t="str">
        <x:v>Screen severity/weapon/medical findings, then mediate only if legally eligible</x:v>
      </x:c>
      <x:c r="N27" s="13" t="str">
        <x:v>Possible minor physical injury; requires severity screening.</x:v>
      </x:c>
      <x:c r="O27" s="13" t="str"/>
      <x:c r="P27" s="13" t="str">
        <x:v>Panunulak na nagdulot ng pasa sa braso</x:v>
      </x:c>
      <x:c r="Q27" s="13" t="str">
        <x:v>Added to balance 'physical injury' to 49 examples using the same Justice KP label schema.</x:v>
      </x:c>
      <x:c r="R27" s="13" t="str">
        <x:v>Synthetic row based on category coverage gap from uploaded PDF</x:v>
      </x:c>
    </x:row>
    <x:row r="28" ht="36" customHeight="1">
      <x:c r="A28" s="13" t="str">
        <x:v>SYN-INJ-012</x:v>
      </x:c>
      <x:c r="B28" s="13" t="str">
        <x:v>physical injury</x:v>
      </x:c>
      <x:c r="C28" s="13" t="str">
        <x:v>Synthetic</x:v>
      </x:c>
      <x:c r="D28" s="13" t="str"/>
      <x:c r="E28" s="13" t="str">
        <x:v>Criminal</x:v>
      </x:c>
      <x:c r="F28" s="13" t="str">
        <x:v>Panununtok matapos ang pagtatalo sa basketball court</x:v>
      </x:c>
      <x:c r="G28" s="13" t="str">
        <x:v>February 8, 2026</x:v>
      </x:c>
      <x:c r="H28" s="13" t="str">
        <x:v>-</x:v>
      </x:c>
      <x:c r="I28" s="13" t="str">
        <x:v>Synthetic example: no weapon or serious medical finding stated; system must still screen severity and immediate danger.</x:v>
      </x:c>
      <x:c r="J28" s="13" t="str">
        <x:v>For Screening</x:v>
      </x:c>
      <x:c r="K28" s="13" t="str">
        <x:v>KP_COVERED_AMICABLE</x:v>
      </x:c>
      <x:c r="L28" s="13" t="str">
        <x:v>Eligible for KP screening with severity check</x:v>
      </x:c>
      <x:c r="M28" s="13" t="str">
        <x:v>Screen severity/weapon/medical findings, then mediate only if legally eligible</x:v>
      </x:c>
      <x:c r="N28" s="13" t="str">
        <x:v>Possible minor physical injury; requires severity screening.</x:v>
      </x:c>
      <x:c r="O28" s="13" t="str"/>
      <x:c r="P28" s="13" t="str">
        <x:v>Panununtok matapos ang pagtatalo sa basketball court</x:v>
      </x:c>
      <x:c r="Q28" s="13" t="str">
        <x:v>Added to balance 'physical injury' to 49 examples using the same Justice KP label schema.</x:v>
      </x:c>
      <x:c r="R28" s="13" t="str">
        <x:v>Synthetic row based on category coverage gap from uploaded PDF</x:v>
      </x:c>
    </x:row>
    <x:row r="29" ht="36" customHeight="1">
      <x:c r="A29" s="13" t="str">
        <x:v>SYN-INJ-013</x:v>
      </x:c>
      <x:c r="B29" s="13" t="str">
        <x:v>physical injury</x:v>
      </x:c>
      <x:c r="C29" s="13" t="str">
        <x:v>Synthetic</x:v>
      </x:c>
      <x:c r="D29" s="13" t="str"/>
      <x:c r="E29" s="13" t="str">
        <x:v>Criminal</x:v>
      </x:c>
      <x:c r="F29" s="13" t="str">
        <x:v>Pananakit sa kapitbahay habang nag-aaway sa daanan</x:v>
      </x:c>
      <x:c r="G29" s="13" t="str">
        <x:v>February 11, 2026</x:v>
      </x:c>
      <x:c r="H29" s="13" t="str">
        <x:v>-</x:v>
      </x:c>
      <x:c r="I29" s="13" t="str">
        <x:v>Synthetic example: no weapon or serious medical finding stated; system must still screen severity and immediate danger.</x:v>
      </x:c>
      <x:c r="J29" s="13" t="str">
        <x:v>For Screening</x:v>
      </x:c>
      <x:c r="K29" s="13" t="str">
        <x:v>KP_COVERED_AMICABLE</x:v>
      </x:c>
      <x:c r="L29" s="13" t="str">
        <x:v>Eligible for KP screening with severity check</x:v>
      </x:c>
      <x:c r="M29" s="13" t="str">
        <x:v>Screen severity/weapon/medical findings, then mediate only if legally eligible</x:v>
      </x:c>
      <x:c r="N29" s="13" t="str">
        <x:v>Possible minor physical injury; requires severity screening.</x:v>
      </x:c>
      <x:c r="O29" s="13" t="str"/>
      <x:c r="P29" s="13" t="str">
        <x:v>Pananakit sa kapitbahay habang nag-aaway sa daanan</x:v>
      </x:c>
      <x:c r="Q29" s="13" t="str">
        <x:v>Added to balance 'physical injury' to 49 examples using the same Justice KP label schema.</x:v>
      </x:c>
      <x:c r="R29" s="13" t="str">
        <x:v>Synthetic row based on category coverage gap from uploaded PDF</x:v>
      </x:c>
    </x:row>
    <x:row r="30" ht="36" customHeight="1">
      <x:c r="A30" s="13" t="str">
        <x:v>SYN-INJ-014</x:v>
      </x:c>
      <x:c r="B30" s="13" t="str">
        <x:v>physical injury</x:v>
      </x:c>
      <x:c r="C30" s="13" t="str">
        <x:v>Synthetic</x:v>
      </x:c>
      <x:c r="D30" s="13" t="str"/>
      <x:c r="E30" s="13" t="str">
        <x:v>Criminal</x:v>
      </x:c>
      <x:c r="F30" s="13" t="str">
        <x:v>Pambabato ng maliit na bagay na tumama sa balikat</x:v>
      </x:c>
      <x:c r="G30" s="13" t="str">
        <x:v>February 14, 2026</x:v>
      </x:c>
      <x:c r="H30" s="13" t="str">
        <x:v>-</x:v>
      </x:c>
      <x:c r="I30" s="13" t="str">
        <x:v>Synthetic example: no weapon or serious medical finding stated; system must still screen severity and immediate danger.</x:v>
      </x:c>
      <x:c r="J30" s="13" t="str">
        <x:v>For Screening</x:v>
      </x:c>
      <x:c r="K30" s="13" t="str">
        <x:v>KP_COVERED_AMICABLE</x:v>
      </x:c>
      <x:c r="L30" s="13" t="str">
        <x:v>Eligible for KP screening with severity check</x:v>
      </x:c>
      <x:c r="M30" s="13" t="str">
        <x:v>Screen severity/weapon/medical findings, then mediate only if legally eligible</x:v>
      </x:c>
      <x:c r="N30" s="13" t="str">
        <x:v>Possible minor physical injury; requires severity screening.</x:v>
      </x:c>
      <x:c r="O30" s="13" t="str"/>
      <x:c r="P30" s="13" t="str">
        <x:v>Pambabato ng maliit na bagay na tumama sa balikat</x:v>
      </x:c>
      <x:c r="Q30" s="13" t="str">
        <x:v>Added to balance 'physical injury' to 49 examples using the same Justice KP label schema.</x:v>
      </x:c>
      <x:c r="R30" s="13" t="str">
        <x:v>Synthetic row based on category coverage gap from uploaded PDF</x:v>
      </x:c>
    </x:row>
    <x:row r="31" ht="36" customHeight="1">
      <x:c r="A31" s="13" t="str">
        <x:v>SYN-INJ-015</x:v>
      </x:c>
      <x:c r="B31" s="13" t="str">
        <x:v>physical injury</x:v>
      </x:c>
      <x:c r="C31" s="13" t="str">
        <x:v>Synthetic</x:v>
      </x:c>
      <x:c r="D31" s="13" t="str"/>
      <x:c r="E31" s="13" t="str">
        <x:v>Criminal</x:v>
      </x:c>
      <x:c r="F31" s="13" t="str">
        <x:v>Pagsampal matapos ang mainitang pagtatalo</x:v>
      </x:c>
      <x:c r="G31" s="13" t="str">
        <x:v>February 17, 2026</x:v>
      </x:c>
      <x:c r="H31" s="13" t="str">
        <x:v>-</x:v>
      </x:c>
      <x:c r="I31" s="13" t="str">
        <x:v>Synthetic example: no weapon or serious medical finding stated; system must still screen severity and immediate danger.</x:v>
      </x:c>
      <x:c r="J31" s="13" t="str">
        <x:v>For Screening</x:v>
      </x:c>
      <x:c r="K31" s="13" t="str">
        <x:v>KP_COVERED_AMICABLE</x:v>
      </x:c>
      <x:c r="L31" s="13" t="str">
        <x:v>Eligible for KP screening with severity check</x:v>
      </x:c>
      <x:c r="M31" s="13" t="str">
        <x:v>Screen severity/weapon/medical findings, then mediate only if legally eligible</x:v>
      </x:c>
      <x:c r="N31" s="13" t="str">
        <x:v>Possible minor physical injury; requires severity screening.</x:v>
      </x:c>
      <x:c r="O31" s="13" t="str"/>
      <x:c r="P31" s="13" t="str">
        <x:v>Pagsampal matapos ang mainitang pagtatalo</x:v>
      </x:c>
      <x:c r="Q31" s="13" t="str">
        <x:v>Added to balance 'physical injury' to 49 examples using the same Justice KP label schema.</x:v>
      </x:c>
      <x:c r="R31" s="13" t="str">
        <x:v>Synthetic row based on category coverage gap from uploaded PDF</x:v>
      </x:c>
    </x:row>
    <x:row r="32" ht="36" customHeight="1">
      <x:c r="A32" s="13" t="str">
        <x:v>SYN-INJ-016</x:v>
      </x:c>
      <x:c r="B32" s="13" t="str">
        <x:v>physical injury</x:v>
      </x:c>
      <x:c r="C32" s="13" t="str">
        <x:v>Synthetic</x:v>
      </x:c>
      <x:c r="D32" s="13" t="str"/>
      <x:c r="E32" s="13" t="str">
        <x:v>Criminal</x:v>
      </x:c>
      <x:c r="F32" s="13" t="str">
        <x:v>Pagkakasakitan sa pila sa tindahan</x:v>
      </x:c>
      <x:c r="G32" s="13" t="str">
        <x:v>February 20, 2026</x:v>
      </x:c>
      <x:c r="H32" s="13" t="str">
        <x:v>-</x:v>
      </x:c>
      <x:c r="I32" s="13" t="str">
        <x:v>Synthetic example: no weapon or serious medical finding stated; system must still screen severity and immediate danger.</x:v>
      </x:c>
      <x:c r="J32" s="13" t="str">
        <x:v>For Screening</x:v>
      </x:c>
      <x:c r="K32" s="13" t="str">
        <x:v>KP_COVERED_AMICABLE</x:v>
      </x:c>
      <x:c r="L32" s="13" t="str">
        <x:v>Eligible for KP screening with severity check</x:v>
      </x:c>
      <x:c r="M32" s="13" t="str">
        <x:v>Screen severity/weapon/medical findings, then mediate only if legally eligible</x:v>
      </x:c>
      <x:c r="N32" s="13" t="str">
        <x:v>Possible minor physical injury; requires severity screening.</x:v>
      </x:c>
      <x:c r="O32" s="13" t="str"/>
      <x:c r="P32" s="13" t="str">
        <x:v>Pagkakasakitan sa pila sa tindahan</x:v>
      </x:c>
      <x:c r="Q32" s="13" t="str">
        <x:v>Added to balance 'physical injury' to 49 examples using the same Justice KP label schema.</x:v>
      </x:c>
      <x:c r="R32" s="13" t="str">
        <x:v>Synthetic row based on category coverage gap from uploaded PDF</x:v>
      </x:c>
    </x:row>
    <x:row r="33" ht="36" customHeight="1">
      <x:c r="A33" s="13" t="str">
        <x:v>SYN-INJ-017</x:v>
      </x:c>
      <x:c r="B33" s="13" t="str">
        <x:v>physical injury</x:v>
      </x:c>
      <x:c r="C33" s="13" t="str">
        <x:v>Synthetic</x:v>
      </x:c>
      <x:c r="D33" s="13" t="str"/>
      <x:c r="E33" s="13" t="str">
        <x:v>Criminal</x:v>
      </x:c>
      <x:c r="F33" s="13" t="str">
        <x:v>Paninipa sa binti habang nag-aaway ang magkakapitbahay</x:v>
      </x:c>
      <x:c r="G33" s="13" t="str">
        <x:v>February 23, 2026</x:v>
      </x:c>
      <x:c r="H33" s="13" t="str">
        <x:v>-</x:v>
      </x:c>
      <x:c r="I33" s="13" t="str">
        <x:v>Synthetic example: no weapon or serious medical finding stated; system must still screen severity and immediate danger.</x:v>
      </x:c>
      <x:c r="J33" s="13" t="str">
        <x:v>For Screening</x:v>
      </x:c>
      <x:c r="K33" s="13" t="str">
        <x:v>KP_COVERED_AMICABLE</x:v>
      </x:c>
      <x:c r="L33" s="13" t="str">
        <x:v>Eligible for KP screening with severity check</x:v>
      </x:c>
      <x:c r="M33" s="13" t="str">
        <x:v>Screen severity/weapon/medical findings, then mediate only if legally eligible</x:v>
      </x:c>
      <x:c r="N33" s="13" t="str">
        <x:v>Possible minor physical injury; requires severity screening.</x:v>
      </x:c>
      <x:c r="O33" s="13" t="str"/>
      <x:c r="P33" s="13" t="str">
        <x:v>Paninipa sa binti habang nag-aaway ang magkakapitbahay</x:v>
      </x:c>
      <x:c r="Q33" s="13" t="str">
        <x:v>Added to balance 'physical injury' to 49 examples using the same Justice KP label schema.</x:v>
      </x:c>
      <x:c r="R33" s="13" t="str">
        <x:v>Synthetic row based on category coverage gap from uploaded PDF</x:v>
      </x:c>
    </x:row>
    <x:row r="34" ht="36" customHeight="1">
      <x:c r="A34" s="13" t="str">
        <x:v>SYN-INJ-018</x:v>
      </x:c>
      <x:c r="B34" s="13" t="str">
        <x:v>physical injury</x:v>
      </x:c>
      <x:c r="C34" s="13" t="str">
        <x:v>Synthetic</x:v>
      </x:c>
      <x:c r="D34" s="13" t="str"/>
      <x:c r="E34" s="13" t="str">
        <x:v>Criminal</x:v>
      </x:c>
      <x:c r="F34" s="13" t="str">
        <x:v>Paghila at panunulak sa loob ng compound</x:v>
      </x:c>
      <x:c r="G34" s="13" t="str">
        <x:v>February 26, 2026</x:v>
      </x:c>
      <x:c r="H34" s="13" t="str">
        <x:v>-</x:v>
      </x:c>
      <x:c r="I34" s="13" t="str">
        <x:v>Synthetic example: no weapon or serious medical finding stated; system must still screen severity and immediate danger.</x:v>
      </x:c>
      <x:c r="J34" s="13" t="str">
        <x:v>For Screening</x:v>
      </x:c>
      <x:c r="K34" s="13" t="str">
        <x:v>KP_COVERED_AMICABLE</x:v>
      </x:c>
      <x:c r="L34" s="13" t="str">
        <x:v>Eligible for KP screening with severity check</x:v>
      </x:c>
      <x:c r="M34" s="13" t="str">
        <x:v>Screen severity/weapon/medical findings, then mediate only if legally eligible</x:v>
      </x:c>
      <x:c r="N34" s="13" t="str">
        <x:v>Possible minor physical injury; requires severity screening.</x:v>
      </x:c>
      <x:c r="O34" s="13" t="str"/>
      <x:c r="P34" s="13" t="str">
        <x:v>Paghila at panunulak sa loob ng compound</x:v>
      </x:c>
      <x:c r="Q34" s="13" t="str">
        <x:v>Added to balance 'physical injury' to 49 examples using the same Justice KP label schema.</x:v>
      </x:c>
      <x:c r="R34" s="13" t="str">
        <x:v>Synthetic row based on category coverage gap from uploaded PDF</x:v>
      </x:c>
    </x:row>
    <x:row r="35" ht="36" customHeight="1">
      <x:c r="A35" s="13" t="str">
        <x:v>SYN-INJ-019</x:v>
      </x:c>
      <x:c r="B35" s="13" t="str">
        <x:v>physical injury</x:v>
      </x:c>
      <x:c r="C35" s="13" t="str">
        <x:v>Synthetic</x:v>
      </x:c>
      <x:c r="D35" s="13" t="str"/>
      <x:c r="E35" s="13" t="str">
        <x:v>Criminal</x:v>
      </x:c>
      <x:c r="F35" s="13" t="str">
        <x:v>Pananakit sa menor de edad na dapat i-screen kung child-protection issue</x:v>
      </x:c>
      <x:c r="G35" s="13" t="str">
        <x:v>March 1, 2026</x:v>
      </x:c>
      <x:c r="H35" s="13" t="str">
        <x:v>-</x:v>
      </x:c>
      <x:c r="I35" s="13" t="str">
        <x:v>Synthetic example: no weapon or serious medical finding stated; system must still screen severity and immediate danger.</x:v>
      </x:c>
      <x:c r="J35" s="13" t="str">
        <x:v>For Screening</x:v>
      </x:c>
      <x:c r="K35" s="13" t="str">
        <x:v>KP_COVERED_AMICABLE</x:v>
      </x:c>
      <x:c r="L35" s="13" t="str">
        <x:v>Eligible for KP screening with severity check</x:v>
      </x:c>
      <x:c r="M35" s="13" t="str">
        <x:v>Screen severity/weapon/medical findings, then mediate only if legally eligible</x:v>
      </x:c>
      <x:c r="N35" s="13" t="str">
        <x:v>Possible minor physical injury; requires severity screening.</x:v>
      </x:c>
      <x:c r="O35" s="13" t="str"/>
      <x:c r="P35" s="13" t="str">
        <x:v>Pananakit sa menor de edad na dapat i-screen kung child-protection issue</x:v>
      </x:c>
      <x:c r="Q35" s="13" t="str">
        <x:v>Added to balance 'physical injury' to 49 examples using the same Justice KP label schema.</x:v>
      </x:c>
      <x:c r="R35" s="13" t="str">
        <x:v>Synthetic row based on category coverage gap from uploaded PDF</x:v>
      </x:c>
    </x:row>
    <x:row r="36" ht="36" customHeight="1">
      <x:c r="A36" s="13" t="str">
        <x:v>SYN-INJ-020</x:v>
      </x:c>
      <x:c r="B36" s="13" t="str">
        <x:v>physical injury</x:v>
      </x:c>
      <x:c r="C36" s="13" t="str">
        <x:v>Synthetic</x:v>
      </x:c>
      <x:c r="D36" s="13" t="str"/>
      <x:c r="E36" s="13" t="str">
        <x:v>Criminal</x:v>
      </x:c>
      <x:c r="F36" s="13" t="str">
        <x:v>Pambubugbog na walang sandata ngunit may reklamo sa barangay</x:v>
      </x:c>
      <x:c r="G36" s="13" t="str">
        <x:v>March 4, 2026</x:v>
      </x:c>
      <x:c r="H36" s="13" t="str">
        <x:v>-</x:v>
      </x:c>
      <x:c r="I36" s="13" t="str">
        <x:v>Synthetic example: no weapon or serious medical finding stated; system must still screen severity and immediate danger.</x:v>
      </x:c>
      <x:c r="J36" s="13" t="str">
        <x:v>For Screening</x:v>
      </x:c>
      <x:c r="K36" s="13" t="str">
        <x:v>KP_COVERED_AMICABLE</x:v>
      </x:c>
      <x:c r="L36" s="13" t="str">
        <x:v>Eligible for KP screening with severity check</x:v>
      </x:c>
      <x:c r="M36" s="13" t="str">
        <x:v>Screen severity/weapon/medical findings, then mediate only if legally eligible</x:v>
      </x:c>
      <x:c r="N36" s="13" t="str">
        <x:v>Possible minor physical injury; requires severity screening.</x:v>
      </x:c>
      <x:c r="O36" s="13" t="str"/>
      <x:c r="P36" s="13" t="str">
        <x:v>Pambubugbog na walang sandata ngunit may reklamo sa barangay</x:v>
      </x:c>
      <x:c r="Q36" s="13" t="str">
        <x:v>Added to balance 'physical injury' to 49 examples using the same Justice KP label schema.</x:v>
      </x:c>
      <x:c r="R36" s="13" t="str">
        <x:v>Synthetic row based on category coverage gap from uploaded PDF</x:v>
      </x:c>
    </x:row>
    <x:row r="37" ht="36" customHeight="1">
      <x:c r="A37" s="13" t="str">
        <x:v>SYN-INJ-021</x:v>
      </x:c>
      <x:c r="B37" s="13" t="str">
        <x:v>physical injury</x:v>
      </x:c>
      <x:c r="C37" s="13" t="str">
        <x:v>Synthetic</x:v>
      </x:c>
      <x:c r="D37" s="13" t="str"/>
      <x:c r="E37" s="13" t="str">
        <x:v>Criminal</x:v>
      </x:c>
      <x:c r="F37" s="13" t="str">
        <x:v>Panunulak na nagdulot ng pasa sa braso</x:v>
      </x:c>
      <x:c r="G37" s="13" t="str">
        <x:v>March 7, 2026</x:v>
      </x:c>
      <x:c r="H37" s="13" t="str">
        <x:v>-</x:v>
      </x:c>
      <x:c r="I37" s="13" t="str">
        <x:v>Synthetic example: no weapon or serious medical finding stated; system must still screen severity and immediate danger.</x:v>
      </x:c>
      <x:c r="J37" s="13" t="str">
        <x:v>For Screening</x:v>
      </x:c>
      <x:c r="K37" s="13" t="str">
        <x:v>KP_COVERED_AMICABLE</x:v>
      </x:c>
      <x:c r="L37" s="13" t="str">
        <x:v>Eligible for KP screening with severity check</x:v>
      </x:c>
      <x:c r="M37" s="13" t="str">
        <x:v>Screen severity/weapon/medical findings, then mediate only if legally eligible</x:v>
      </x:c>
      <x:c r="N37" s="13" t="str">
        <x:v>Possible minor physical injury; requires severity screening.</x:v>
      </x:c>
      <x:c r="O37" s="13" t="str"/>
      <x:c r="P37" s="13" t="str">
        <x:v>Panunulak na nagdulot ng pasa sa braso</x:v>
      </x:c>
      <x:c r="Q37" s="13" t="str">
        <x:v>Added to balance 'physical injury' to 49 examples using the same Justice KP label schema.</x:v>
      </x:c>
      <x:c r="R37" s="13" t="str">
        <x:v>Synthetic row based on category coverage gap from uploaded PDF</x:v>
      </x:c>
    </x:row>
    <x:row r="38" ht="36" customHeight="1">
      <x:c r="A38" s="13" t="str">
        <x:v>SYN-INJ-022</x:v>
      </x:c>
      <x:c r="B38" s="13" t="str">
        <x:v>physical injury</x:v>
      </x:c>
      <x:c r="C38" s="13" t="str">
        <x:v>Synthetic</x:v>
      </x:c>
      <x:c r="D38" s="13" t="str"/>
      <x:c r="E38" s="13" t="str">
        <x:v>Criminal</x:v>
      </x:c>
      <x:c r="F38" s="13" t="str">
        <x:v>Panununtok matapos ang pagtatalo sa basketball court</x:v>
      </x:c>
      <x:c r="G38" s="13" t="str">
        <x:v>March 10, 2026</x:v>
      </x:c>
      <x:c r="H38" s="13" t="str">
        <x:v>-</x:v>
      </x:c>
      <x:c r="I38" s="13" t="str">
        <x:v>Synthetic example: no weapon or serious medical finding stated; system must still screen severity and immediate danger.</x:v>
      </x:c>
      <x:c r="J38" s="13" t="str">
        <x:v>For Screening</x:v>
      </x:c>
      <x:c r="K38" s="13" t="str">
        <x:v>KP_COVERED_AMICABLE</x:v>
      </x:c>
      <x:c r="L38" s="13" t="str">
        <x:v>Eligible for KP screening with severity check</x:v>
      </x:c>
      <x:c r="M38" s="13" t="str">
        <x:v>Screen severity/weapon/medical findings, then mediate only if legally eligible</x:v>
      </x:c>
      <x:c r="N38" s="13" t="str">
        <x:v>Possible minor physical injury; requires severity screening.</x:v>
      </x:c>
      <x:c r="O38" s="13" t="str"/>
      <x:c r="P38" s="13" t="str">
        <x:v>Panununtok matapos ang pagtatalo sa basketball court</x:v>
      </x:c>
      <x:c r="Q38" s="13" t="str">
        <x:v>Added to balance 'physical injury' to 49 examples using the same Justice KP label schema.</x:v>
      </x:c>
      <x:c r="R38" s="13" t="str">
        <x:v>Synthetic row based on category coverage gap from uploaded PDF</x:v>
      </x:c>
    </x:row>
    <x:row r="39" ht="36" customHeight="1">
      <x:c r="A39" s="13" t="str">
        <x:v>SYN-INJ-023</x:v>
      </x:c>
      <x:c r="B39" s="13" t="str">
        <x:v>physical injury</x:v>
      </x:c>
      <x:c r="C39" s="13" t="str">
        <x:v>Synthetic</x:v>
      </x:c>
      <x:c r="D39" s="13" t="str"/>
      <x:c r="E39" s="13" t="str">
        <x:v>Criminal</x:v>
      </x:c>
      <x:c r="F39" s="13" t="str">
        <x:v>Pananakit sa kapitbahay habang nag-aaway sa daanan</x:v>
      </x:c>
      <x:c r="G39" s="13" t="str">
        <x:v>March 13, 2026</x:v>
      </x:c>
      <x:c r="H39" s="13" t="str">
        <x:v>-</x:v>
      </x:c>
      <x:c r="I39" s="13" t="str">
        <x:v>Synthetic example: no weapon or serious medical finding stated; system must still screen severity and immediate danger.</x:v>
      </x:c>
      <x:c r="J39" s="13" t="str">
        <x:v>For Screening</x:v>
      </x:c>
      <x:c r="K39" s="13" t="str">
        <x:v>KP_COVERED_AMICABLE</x:v>
      </x:c>
      <x:c r="L39" s="13" t="str">
        <x:v>Eligible for KP screening with severity check</x:v>
      </x:c>
      <x:c r="M39" s="13" t="str">
        <x:v>Screen severity/weapon/medical findings, then mediate only if legally eligible</x:v>
      </x:c>
      <x:c r="N39" s="13" t="str">
        <x:v>Possible minor physical injury; requires severity screening.</x:v>
      </x:c>
      <x:c r="O39" s="13" t="str"/>
      <x:c r="P39" s="13" t="str">
        <x:v>Pananakit sa kapitbahay habang nag-aaway sa daanan</x:v>
      </x:c>
      <x:c r="Q39" s="13" t="str">
        <x:v>Added to balance 'physical injury' to 49 examples using the same Justice KP label schema.</x:v>
      </x:c>
      <x:c r="R39" s="13" t="str">
        <x:v>Synthetic row based on category coverage gap from uploaded PDF</x:v>
      </x:c>
    </x:row>
    <x:row r="40" ht="36" customHeight="1">
      <x:c r="A40" s="13" t="str">
        <x:v>SYN-INJ-024</x:v>
      </x:c>
      <x:c r="B40" s="13" t="str">
        <x:v>physical injury</x:v>
      </x:c>
      <x:c r="C40" s="13" t="str">
        <x:v>Synthetic</x:v>
      </x:c>
      <x:c r="D40" s="13" t="str"/>
      <x:c r="E40" s="13" t="str">
        <x:v>Criminal</x:v>
      </x:c>
      <x:c r="F40" s="13" t="str">
        <x:v>Pambabato ng maliit na bagay na tumama sa balikat</x:v>
      </x:c>
      <x:c r="G40" s="13" t="str">
        <x:v>March 16, 2026</x:v>
      </x:c>
      <x:c r="H40" s="13" t="str">
        <x:v>-</x:v>
      </x:c>
      <x:c r="I40" s="13" t="str">
        <x:v>Synthetic example: no weapon or serious medical finding stated; system must still screen severity and immediate danger.</x:v>
      </x:c>
      <x:c r="J40" s="13" t="str">
        <x:v>For Screening</x:v>
      </x:c>
      <x:c r="K40" s="13" t="str">
        <x:v>KP_COVERED_AMICABLE</x:v>
      </x:c>
      <x:c r="L40" s="13" t="str">
        <x:v>Eligible for KP screening with severity check</x:v>
      </x:c>
      <x:c r="M40" s="13" t="str">
        <x:v>Screen severity/weapon/medical findings, then mediate only if legally eligible</x:v>
      </x:c>
      <x:c r="N40" s="13" t="str">
        <x:v>Possible minor physical injury; requires severity screening.</x:v>
      </x:c>
      <x:c r="O40" s="13" t="str"/>
      <x:c r="P40" s="13" t="str">
        <x:v>Pambabato ng maliit na bagay na tumama sa balikat</x:v>
      </x:c>
      <x:c r="Q40" s="13" t="str">
        <x:v>Added to balance 'physical injury' to 49 examples using the same Justice KP label schema.</x:v>
      </x:c>
      <x:c r="R40" s="13" t="str">
        <x:v>Synthetic row based on category coverage gap from uploaded PDF</x:v>
      </x:c>
    </x:row>
    <x:row r="41" ht="36" customHeight="1">
      <x:c r="A41" s="13" t="str">
        <x:v>SYN-INJ-025</x:v>
      </x:c>
      <x:c r="B41" s="13" t="str">
        <x:v>physical injury</x:v>
      </x:c>
      <x:c r="C41" s="13" t="str">
        <x:v>Synthetic</x:v>
      </x:c>
      <x:c r="D41" s="13" t="str"/>
      <x:c r="E41" s="13" t="str">
        <x:v>Criminal</x:v>
      </x:c>
      <x:c r="F41" s="13" t="str">
        <x:v>Pagsampal matapos ang mainitang pagtatalo</x:v>
      </x:c>
      <x:c r="G41" s="13" t="str">
        <x:v>March 19, 2026</x:v>
      </x:c>
      <x:c r="H41" s="13" t="str">
        <x:v>-</x:v>
      </x:c>
      <x:c r="I41" s="13" t="str">
        <x:v>Synthetic example: no weapon or serious medical finding stated; system must still screen severity and immediate danger.</x:v>
      </x:c>
      <x:c r="J41" s="13" t="str">
        <x:v>For Screening</x:v>
      </x:c>
      <x:c r="K41" s="13" t="str">
        <x:v>KP_COVERED_AMICABLE</x:v>
      </x:c>
      <x:c r="L41" s="13" t="str">
        <x:v>Eligible for KP screening with severity check</x:v>
      </x:c>
      <x:c r="M41" s="13" t="str">
        <x:v>Screen severity/weapon/medical findings, then mediate only if legally eligible</x:v>
      </x:c>
      <x:c r="N41" s="13" t="str">
        <x:v>Possible minor physical injury; requires severity screening.</x:v>
      </x:c>
      <x:c r="O41" s="13" t="str"/>
      <x:c r="P41" s="13" t="str">
        <x:v>Pagsampal matapos ang mainitang pagtatalo</x:v>
      </x:c>
      <x:c r="Q41" s="13" t="str">
        <x:v>Added to balance 'physical injury' to 49 examples using the same Justice KP label schema.</x:v>
      </x:c>
      <x:c r="R41" s="13" t="str">
        <x:v>Synthetic row based on category coverage gap from uploaded PDF</x:v>
      </x:c>
    </x:row>
    <x:row r="42" ht="36" customHeight="1">
      <x:c r="A42" s="13" t="str">
        <x:v>SYN-INJ-026</x:v>
      </x:c>
      <x:c r="B42" s="13" t="str">
        <x:v>physical injury</x:v>
      </x:c>
      <x:c r="C42" s="13" t="str">
        <x:v>Synthetic</x:v>
      </x:c>
      <x:c r="D42" s="13" t="str"/>
      <x:c r="E42" s="13" t="str">
        <x:v>Criminal</x:v>
      </x:c>
      <x:c r="F42" s="13" t="str">
        <x:v>Pagkakasakitan sa pila sa tindahan</x:v>
      </x:c>
      <x:c r="G42" s="13" t="str">
        <x:v>March 22, 2026</x:v>
      </x:c>
      <x:c r="H42" s="13" t="str">
        <x:v>-</x:v>
      </x:c>
      <x:c r="I42" s="13" t="str">
        <x:v>Synthetic example: no weapon or serious medical finding stated; system must still screen severity and immediate danger.</x:v>
      </x:c>
      <x:c r="J42" s="13" t="str">
        <x:v>For Screening</x:v>
      </x:c>
      <x:c r="K42" s="13" t="str">
        <x:v>KP_COVERED_AMICABLE</x:v>
      </x:c>
      <x:c r="L42" s="13" t="str">
        <x:v>Eligible for KP screening with severity check</x:v>
      </x:c>
      <x:c r="M42" s="13" t="str">
        <x:v>Screen severity/weapon/medical findings, then mediate only if legally eligible</x:v>
      </x:c>
      <x:c r="N42" s="13" t="str">
        <x:v>Possible minor physical injury; requires severity screening.</x:v>
      </x:c>
      <x:c r="O42" s="13" t="str"/>
      <x:c r="P42" s="13" t="str">
        <x:v>Pagkakasakitan sa pila sa tindahan</x:v>
      </x:c>
      <x:c r="Q42" s="13" t="str">
        <x:v>Added to balance 'physical injury' to 49 examples using the same Justice KP label schema.</x:v>
      </x:c>
      <x:c r="R42" s="13" t="str">
        <x:v>Synthetic row based on category coverage gap from uploaded PDF</x:v>
      </x:c>
    </x:row>
    <x:row r="43" ht="36" customHeight="1">
      <x:c r="A43" s="13" t="str">
        <x:v>SYN-INJ-027</x:v>
      </x:c>
      <x:c r="B43" s="13" t="str">
        <x:v>physical injury</x:v>
      </x:c>
      <x:c r="C43" s="13" t="str">
        <x:v>Synthetic</x:v>
      </x:c>
      <x:c r="D43" s="13" t="str"/>
      <x:c r="E43" s="13" t="str">
        <x:v>Criminal</x:v>
      </x:c>
      <x:c r="F43" s="13" t="str">
        <x:v>Paninipa sa binti habang nag-aaway ang magkakapitbahay</x:v>
      </x:c>
      <x:c r="G43" s="13" t="str">
        <x:v>March 25, 2026</x:v>
      </x:c>
      <x:c r="H43" s="13" t="str">
        <x:v>-</x:v>
      </x:c>
      <x:c r="I43" s="13" t="str">
        <x:v>Synthetic example: no weapon or serious medical finding stated; system must still screen severity and immediate danger.</x:v>
      </x:c>
      <x:c r="J43" s="13" t="str">
        <x:v>For Screening</x:v>
      </x:c>
      <x:c r="K43" s="13" t="str">
        <x:v>KP_COVERED_AMICABLE</x:v>
      </x:c>
      <x:c r="L43" s="13" t="str">
        <x:v>Eligible for KP screening with severity check</x:v>
      </x:c>
      <x:c r="M43" s="13" t="str">
        <x:v>Screen severity/weapon/medical findings, then mediate only if legally eligible</x:v>
      </x:c>
      <x:c r="N43" s="13" t="str">
        <x:v>Possible minor physical injury; requires severity screening.</x:v>
      </x:c>
      <x:c r="O43" s="13" t="str"/>
      <x:c r="P43" s="13" t="str">
        <x:v>Paninipa sa binti habang nag-aaway ang magkakapitbahay</x:v>
      </x:c>
      <x:c r="Q43" s="13" t="str">
        <x:v>Added to balance 'physical injury' to 49 examples using the same Justice KP label schema.</x:v>
      </x:c>
      <x:c r="R43" s="13" t="str">
        <x:v>Synthetic row based on category coverage gap from uploaded PDF</x:v>
      </x:c>
    </x:row>
    <x:row r="44" ht="36" customHeight="1">
      <x:c r="A44" s="13" t="str">
        <x:v>SYN-INJ-028</x:v>
      </x:c>
      <x:c r="B44" s="13" t="str">
        <x:v>physical injury</x:v>
      </x:c>
      <x:c r="C44" s="13" t="str">
        <x:v>Synthetic</x:v>
      </x:c>
      <x:c r="D44" s="13" t="str"/>
      <x:c r="E44" s="13" t="str">
        <x:v>Criminal</x:v>
      </x:c>
      <x:c r="F44" s="13" t="str">
        <x:v>Paghila at panunulak sa loob ng compound</x:v>
      </x:c>
      <x:c r="G44" s="13" t="str">
        <x:v>March 28, 2026</x:v>
      </x:c>
      <x:c r="H44" s="13" t="str">
        <x:v>-</x:v>
      </x:c>
      <x:c r="I44" s="13" t="str">
        <x:v>Synthetic example: no weapon or serious medical finding stated; system must still screen severity and immediate danger.</x:v>
      </x:c>
      <x:c r="J44" s="13" t="str">
        <x:v>For Screening</x:v>
      </x:c>
      <x:c r="K44" s="13" t="str">
        <x:v>KP_COVERED_AMICABLE</x:v>
      </x:c>
      <x:c r="L44" s="13" t="str">
        <x:v>Eligible for KP screening with severity check</x:v>
      </x:c>
      <x:c r="M44" s="13" t="str">
        <x:v>Screen severity/weapon/medical findings, then mediate only if legally eligible</x:v>
      </x:c>
      <x:c r="N44" s="13" t="str">
        <x:v>Possible minor physical injury; requires severity screening.</x:v>
      </x:c>
      <x:c r="O44" s="13" t="str"/>
      <x:c r="P44" s="13" t="str">
        <x:v>Paghila at panunulak sa loob ng compound</x:v>
      </x:c>
      <x:c r="Q44" s="13" t="str">
        <x:v>Added to balance 'physical injury' to 49 examples using the same Justice KP label schema.</x:v>
      </x:c>
      <x:c r="R44" s="13" t="str">
        <x:v>Synthetic row based on category coverage gap from uploaded PDF</x:v>
      </x:c>
    </x:row>
    <x:row r="45" ht="36" customHeight="1">
      <x:c r="A45" s="13" t="str">
        <x:v>SYN-INJ-029</x:v>
      </x:c>
      <x:c r="B45" s="13" t="str">
        <x:v>physical injury</x:v>
      </x:c>
      <x:c r="C45" s="13" t="str">
        <x:v>Synthetic</x:v>
      </x:c>
      <x:c r="D45" s="13" t="str"/>
      <x:c r="E45" s="13" t="str">
        <x:v>Criminal</x:v>
      </x:c>
      <x:c r="F45" s="13" t="str">
        <x:v>Pananakit sa menor de edad na dapat i-screen kung child-protection issue</x:v>
      </x:c>
      <x:c r="G45" s="13" t="str">
        <x:v>March 31, 2026</x:v>
      </x:c>
      <x:c r="H45" s="13" t="str">
        <x:v>-</x:v>
      </x:c>
      <x:c r="I45" s="13" t="str">
        <x:v>Synthetic example: no weapon or serious medical finding stated; system must still screen severity and immediate danger.</x:v>
      </x:c>
      <x:c r="J45" s="13" t="str">
        <x:v>For Screening</x:v>
      </x:c>
      <x:c r="K45" s="13" t="str">
        <x:v>KP_COVERED_AMICABLE</x:v>
      </x:c>
      <x:c r="L45" s="13" t="str">
        <x:v>Eligible for KP screening with severity check</x:v>
      </x:c>
      <x:c r="M45" s="13" t="str">
        <x:v>Screen severity/weapon/medical findings, then mediate only if legally eligible</x:v>
      </x:c>
      <x:c r="N45" s="13" t="str">
        <x:v>Possible minor physical injury; requires severity screening.</x:v>
      </x:c>
      <x:c r="O45" s="13" t="str"/>
      <x:c r="P45" s="13" t="str">
        <x:v>Pananakit sa menor de edad na dapat i-screen kung child-protection issue</x:v>
      </x:c>
      <x:c r="Q45" s="13" t="str">
        <x:v>Added to balance 'physical injury' to 49 examples using the same Justice KP label schema.</x:v>
      </x:c>
      <x:c r="R45" s="13" t="str">
        <x:v>Synthetic row based on category coverage gap from uploaded PDF</x:v>
      </x:c>
    </x:row>
    <x:row r="46" ht="36" customHeight="1">
      <x:c r="A46" s="13" t="str">
        <x:v>SYN-INJ-030</x:v>
      </x:c>
      <x:c r="B46" s="13" t="str">
        <x:v>physical injury</x:v>
      </x:c>
      <x:c r="C46" s="13" t="str">
        <x:v>Synthetic</x:v>
      </x:c>
      <x:c r="D46" s="13" t="str"/>
      <x:c r="E46" s="13" t="str">
        <x:v>Criminal</x:v>
      </x:c>
      <x:c r="F46" s="13" t="str">
        <x:v>Pambubugbog na walang sandata ngunit may reklamo sa barangay</x:v>
      </x:c>
      <x:c r="G46" s="13" t="str">
        <x:v>April 3, 2026</x:v>
      </x:c>
      <x:c r="H46" s="13" t="str">
        <x:v>-</x:v>
      </x:c>
      <x:c r="I46" s="13" t="str">
        <x:v>Synthetic example: no weapon or serious medical finding stated; system must still screen severity and immediate danger.</x:v>
      </x:c>
      <x:c r="J46" s="13" t="str">
        <x:v>For Screening</x:v>
      </x:c>
      <x:c r="K46" s="13" t="str">
        <x:v>KP_COVERED_AMICABLE</x:v>
      </x:c>
      <x:c r="L46" s="13" t="str">
        <x:v>Eligible for KP screening with severity check</x:v>
      </x:c>
      <x:c r="M46" s="13" t="str">
        <x:v>Screen severity/weapon/medical findings, then mediate only if legally eligible</x:v>
      </x:c>
      <x:c r="N46" s="13" t="str">
        <x:v>Possible minor physical injury; requires severity screening.</x:v>
      </x:c>
      <x:c r="O46" s="13" t="str"/>
      <x:c r="P46" s="13" t="str">
        <x:v>Pambubugbog na walang sandata ngunit may reklamo sa barangay</x:v>
      </x:c>
      <x:c r="Q46" s="13" t="str">
        <x:v>Added to balance 'physical injury' to 49 examples using the same Justice KP label schema.</x:v>
      </x:c>
      <x:c r="R46" s="13" t="str">
        <x:v>Synthetic row based on category coverage gap from uploaded PDF</x:v>
      </x:c>
    </x:row>
    <x:row r="47" ht="36" customHeight="1">
      <x:c r="A47" s="13" t="str">
        <x:v>SYN-INJ-031</x:v>
      </x:c>
      <x:c r="B47" s="13" t="str">
        <x:v>physical injury</x:v>
      </x:c>
      <x:c r="C47" s="13" t="str">
        <x:v>Synthetic</x:v>
      </x:c>
      <x:c r="D47" s="13" t="str"/>
      <x:c r="E47" s="13" t="str">
        <x:v>Criminal</x:v>
      </x:c>
      <x:c r="F47" s="13" t="str">
        <x:v>Panunulak na nagdulot ng pasa sa braso</x:v>
      </x:c>
      <x:c r="G47" s="13" t="str">
        <x:v>April 6, 2026</x:v>
      </x:c>
      <x:c r="H47" s="13" t="str">
        <x:v>-</x:v>
      </x:c>
      <x:c r="I47" s="13" t="str">
        <x:v>Synthetic example: no weapon or serious medical finding stated; system must still screen severity and immediate danger.</x:v>
      </x:c>
      <x:c r="J47" s="13" t="str">
        <x:v>For Screening</x:v>
      </x:c>
      <x:c r="K47" s="13" t="str">
        <x:v>KP_COVERED_AMICABLE</x:v>
      </x:c>
      <x:c r="L47" s="13" t="str">
        <x:v>Eligible for KP screening with severity check</x:v>
      </x:c>
      <x:c r="M47" s="13" t="str">
        <x:v>Screen severity/weapon/medical findings, then mediate only if legally eligible</x:v>
      </x:c>
      <x:c r="N47" s="13" t="str">
        <x:v>Possible minor physical injury; requires severity screening.</x:v>
      </x:c>
      <x:c r="O47" s="13" t="str"/>
      <x:c r="P47" s="13" t="str">
        <x:v>Panunulak na nagdulot ng pasa sa braso</x:v>
      </x:c>
      <x:c r="Q47" s="13" t="str">
        <x:v>Added to balance 'physical injury' to 49 examples using the same Justice KP label schema.</x:v>
      </x:c>
      <x:c r="R47" s="13" t="str">
        <x:v>Synthetic row based on category coverage gap from uploaded PDF</x:v>
      </x:c>
    </x:row>
    <x:row r="48" ht="36" customHeight="1">
      <x:c r="A48" s="13" t="str">
        <x:v>SYN-INJ-032</x:v>
      </x:c>
      <x:c r="B48" s="13" t="str">
        <x:v>physical injury</x:v>
      </x:c>
      <x:c r="C48" s="13" t="str">
        <x:v>Synthetic</x:v>
      </x:c>
      <x:c r="D48" s="13" t="str"/>
      <x:c r="E48" s="13" t="str">
        <x:v>Criminal</x:v>
      </x:c>
      <x:c r="F48" s="13" t="str">
        <x:v>Panununtok matapos ang pagtatalo sa basketball court</x:v>
      </x:c>
      <x:c r="G48" s="13" t="str">
        <x:v>April 9, 2026</x:v>
      </x:c>
      <x:c r="H48" s="13" t="str">
        <x:v>-</x:v>
      </x:c>
      <x:c r="I48" s="13" t="str">
        <x:v>Synthetic example: no weapon or serious medical finding stated; system must still screen severity and immediate danger.</x:v>
      </x:c>
      <x:c r="J48" s="13" t="str">
        <x:v>For Screening</x:v>
      </x:c>
      <x:c r="K48" s="13" t="str">
        <x:v>KP_COVERED_AMICABLE</x:v>
      </x:c>
      <x:c r="L48" s="13" t="str">
        <x:v>Eligible for KP screening with severity check</x:v>
      </x:c>
      <x:c r="M48" s="13" t="str">
        <x:v>Screen severity/weapon/medical findings, then mediate only if legally eligible</x:v>
      </x:c>
      <x:c r="N48" s="13" t="str">
        <x:v>Possible minor physical injury; requires severity screening.</x:v>
      </x:c>
      <x:c r="O48" s="13" t="str"/>
      <x:c r="P48" s="13" t="str">
        <x:v>Panununtok matapos ang pagtatalo sa basketball court</x:v>
      </x:c>
      <x:c r="Q48" s="13" t="str">
        <x:v>Added to balance 'physical injury' to 49 examples using the same Justice KP label schema.</x:v>
      </x:c>
      <x:c r="R48" s="13" t="str">
        <x:v>Synthetic row based on category coverage gap from uploaded PDF</x:v>
      </x:c>
    </x:row>
    <x:row r="49" ht="36" customHeight="1">
      <x:c r="A49" s="13" t="str">
        <x:v>SYN-INJ-033</x:v>
      </x:c>
      <x:c r="B49" s="13" t="str">
        <x:v>physical injury</x:v>
      </x:c>
      <x:c r="C49" s="13" t="str">
        <x:v>Synthetic</x:v>
      </x:c>
      <x:c r="D49" s="13" t="str"/>
      <x:c r="E49" s="13" t="str">
        <x:v>Criminal</x:v>
      </x:c>
      <x:c r="F49" s="13" t="str">
        <x:v>Pananakit sa kapitbahay habang nag-aaway sa daanan</x:v>
      </x:c>
      <x:c r="G49" s="13" t="str">
        <x:v>April 12, 2026</x:v>
      </x:c>
      <x:c r="H49" s="13" t="str">
        <x:v>-</x:v>
      </x:c>
      <x:c r="I49" s="13" t="str">
        <x:v>Synthetic example: no weapon or serious medical finding stated; system must still screen severity and immediate danger.</x:v>
      </x:c>
      <x:c r="J49" s="13" t="str">
        <x:v>For Screening</x:v>
      </x:c>
      <x:c r="K49" s="13" t="str">
        <x:v>KP_COVERED_AMICABLE</x:v>
      </x:c>
      <x:c r="L49" s="13" t="str">
        <x:v>Eligible for KP screening with severity check</x:v>
      </x:c>
      <x:c r="M49" s="13" t="str">
        <x:v>Screen severity/weapon/medical findings, then mediate only if legally eligible</x:v>
      </x:c>
      <x:c r="N49" s="13" t="str">
        <x:v>Possible minor physical injury; requires severity screening.</x:v>
      </x:c>
      <x:c r="O49" s="13" t="str"/>
      <x:c r="P49" s="13" t="str">
        <x:v>Pananakit sa kapitbahay habang nag-aaway sa daanan</x:v>
      </x:c>
      <x:c r="Q49" s="13" t="str">
        <x:v>Added to balance 'physical injury' to 49 examples using the same Justice KP label schema.</x:v>
      </x:c>
      <x:c r="R49" s="13" t="str">
        <x:v>Synthetic row based on category coverage gap from uploaded PDF</x:v>
      </x:c>
    </x:row>
    <x:row r="50" ht="36" customHeight="1">
      <x:c r="A50" s="13" t="str">
        <x:v>SYN-INJ-034</x:v>
      </x:c>
      <x:c r="B50" s="13" t="str">
        <x:v>physical injury</x:v>
      </x:c>
      <x:c r="C50" s="13" t="str">
        <x:v>Synthetic</x:v>
      </x:c>
      <x:c r="D50" s="13" t="str"/>
      <x:c r="E50" s="13" t="str">
        <x:v>Criminal</x:v>
      </x:c>
      <x:c r="F50" s="13" t="str">
        <x:v>Pambabato ng maliit na bagay na tumama sa balikat</x:v>
      </x:c>
      <x:c r="G50" s="13" t="str">
        <x:v>April 15, 2026</x:v>
      </x:c>
      <x:c r="H50" s="13" t="str">
        <x:v>-</x:v>
      </x:c>
      <x:c r="I50" s="13" t="str">
        <x:v>Synthetic example: no weapon or serious medical finding stated; system must still screen severity and immediate danger.</x:v>
      </x:c>
      <x:c r="J50" s="13" t="str">
        <x:v>For Screening</x:v>
      </x:c>
      <x:c r="K50" s="13" t="str">
        <x:v>KP_COVERED_AMICABLE</x:v>
      </x:c>
      <x:c r="L50" s="13" t="str">
        <x:v>Eligible for KP screening with severity check</x:v>
      </x:c>
      <x:c r="M50" s="13" t="str">
        <x:v>Screen severity/weapon/medical findings, then mediate only if legally eligible</x:v>
      </x:c>
      <x:c r="N50" s="13" t="str">
        <x:v>Possible minor physical injury; requires severity screening.</x:v>
      </x:c>
      <x:c r="O50" s="13" t="str"/>
      <x:c r="P50" s="13" t="str">
        <x:v>Pambabato ng maliit na bagay na tumama sa balikat</x:v>
      </x:c>
      <x:c r="Q50" s="13" t="str">
        <x:v>Added to balance 'physical injury' to 49 examples using the same Justice KP label schema.</x:v>
      </x:c>
      <x:c r="R50" s="13" t="str">
        <x:v>Synthetic row based on category coverage gap from uploaded PDF</x:v>
      </x:c>
    </x:row>
  </x:sheetData>
  <x:pageMargins left="0.7" right="0.7" top="0.75" bottom="0.75" header="0.3" footer="0.3"/>
  <x:tableParts count="1">
    <x:tablePart xmlns:r="http://schemas.openxmlformats.org/officeDocument/2006/relationships" r:id="R7ba92f38b5d54e43"/>
  </x:tableParts>
</x:worksheet>
</file>

<file path=xl/worksheets/sheet9.xml><?xml version="1.0" encoding="utf-8"?>
<x:worksheet xmlns:x="http://schemas.openxmlformats.org/spreadsheetml/2006/main">
  <x:sheetFormatPr defaultRowHeight="15"/>
  <x:cols>
    <x:col min="1" max="1" width="18" hidden="0" customWidth="1"/>
    <x:col min="2" max="2" width="22" hidden="0" customWidth="1"/>
    <x:col min="3" max="3" width="13" hidden="0" customWidth="1"/>
    <x:col min="4" max="4" width="18" hidden="0" customWidth="1"/>
    <x:col min="5" max="5" width="18" hidden="0" customWidth="1"/>
    <x:col min="6" max="6" width="38" hidden="0" customWidth="1"/>
    <x:col min="7" max="7" width="17" hidden="0" customWidth="1"/>
    <x:col min="9" max="9" width="55" hidden="0" customWidth="1"/>
    <x:col min="11" max="11" width="24" hidden="0" customWidth="1"/>
    <x:col min="12" max="12" width="32" hidden="0" customWidth="1"/>
    <x:col min="13" max="13" width="42" hidden="0" customWidth="1"/>
    <x:col min="14" max="14" width="50" hidden="0" customWidth="1"/>
    <x:col min="17" max="17" width="50" hidden="0" customWidth="1"/>
    <x:col min="18" max="18" width="35" hidden="0" customWidth="1"/>
  </x:cols>
  <x:sheetData>
    <x:row r="1" ht="42" customHeight="1">
      <x:c r="A1" s="6" t="str">
        <x:v>case_id</x:v>
      </x:c>
      <x:c r="B1" s="6" t="str">
        <x:v>case_type</x:v>
      </x:c>
      <x:c r="C1" s="6" t="str">
        <x:v>source_type</x:v>
      </x:c>
      <x:c r="D1" s="6" t="str">
        <x:v>source_pdf_case_id</x:v>
      </x:c>
      <x:c r="E1" s="6" t="str">
        <x:v>original_dispute_category</x:v>
      </x:c>
      <x:c r="F1" s="6" t="str">
        <x:v>original_nature</x:v>
      </x:c>
      <x:c r="G1" s="6" t="str">
        <x:v>date_filed</x:v>
      </x:c>
      <x:c r="H1" s="6" t="str">
        <x:v>date_of_settlement_or_award</x:v>
      </x:c>
      <x:c r="I1" s="6" t="str">
        <x:v>conversation_status</x:v>
      </x:c>
      <x:c r="J1" s="6" t="str">
        <x:v>action_taken</x:v>
      </x:c>
      <x:c r="K1" s="6" t="str">
        <x:v>justice_kp_label</x:v>
      </x:c>
      <x:c r="L1" s="6" t="str">
        <x:v>kp_eligibility</x:v>
      </x:c>
      <x:c r="M1" s="6" t="str">
        <x:v>recommended_system_action</x:v>
      </x:c>
      <x:c r="N1" s="6" t="str">
        <x:v>label_reason</x:v>
      </x:c>
      <x:c r="O1" s="6" t="str">
        <x:v>amount_or_penalty_reference</x:v>
      </x:c>
      <x:c r="P1" s="6" t="str">
        <x:v>evidence_of_type</x:v>
      </x:c>
      <x:c r="Q1" s="6" t="str">
        <x:v>synthetic_generation_note</x:v>
      </x:c>
      <x:c r="R1" s="6" t="str">
        <x:v>source_file</x:v>
      </x:c>
    </x:row>
    <x:row r="2" ht="36" customHeight="1">
      <x:c r="A2" s="13" t="str">
        <x:v>KP-25-022-PSWT</x:v>
      </x:c>
      <x:c r="B2" s="13" t="str">
        <x:v>threats</x:v>
      </x:c>
      <x:c r="C2" s="13" t="str">
        <x:v>Real PDF</x:v>
      </x:c>
      <x:c r="D2" s="13" t="str">
        <x:v>KP-25-022-PSWT</x:v>
      </x:c>
      <x:c r="E2" s="13" t="str">
        <x:v>Civil</x:v>
      </x:c>
      <x:c r="F2" s="13" t="str">
        <x:v>Pagbabanta at paninira ng pinto</x:v>
      </x:c>
      <x:c r="G2" s="13" t="str">
        <x:v>February 25, 2025</x:v>
      </x:c>
      <x:c r="H2" s="13" t="str">
        <x:v>02/28/2025</x:v>
      </x:c>
      <x:c r="I2" s="13" t="str">
        <x:v>Nagkaroon ng pagkakasundo nanghingi ng pasensya ang mag-asawang ipinagsumbong sa mag-asawang maysumbong.</x:v>
      </x:c>
      <x:c r="J2" s="13" t="str">
        <x:v>Settled</x:v>
      </x:c>
      <x:c r="K2" s="13" t="str">
        <x:v>KP_COVERED_AMICABLE</x:v>
      </x:c>
      <x:c r="L2" s="13" t="str">
        <x:v>Eligible for KP screening</x:v>
      </x:c>
      <x:c r="M2" s="13" t="str">
        <x:v>Proceed to barangay conciliation / mediation screening</x:v>
      </x:c>
      <x:c r="N2" s="13" t="str">
        <x:v>Threat/harassment dispute; proceed to KP only if minor and no imminent danger or protected-person issue.</x:v>
      </x:c>
      <x:c r="O2" s="13" t="str"/>
      <x:c r="P2" s="13" t="str">
        <x:v>Pagbabanta at paninira ng pinto</x:v>
      </x:c>
      <x:c r="Q2" s="13" t="str"/>
      <x:c r="R2" s="13" t="str">
        <x:v>KP CASE PSWT - Sheet1 - KP CASE PSWT - Sheet1.pdf</x:v>
      </x:c>
    </x:row>
    <x:row r="3" ht="36" customHeight="1">
      <x:c r="A3" s="13" t="str">
        <x:v>KP-25-023-PSWT</x:v>
      </x:c>
      <x:c r="B3" s="13" t="str">
        <x:v>threats</x:v>
      </x:c>
      <x:c r="C3" s="13" t="str">
        <x:v>Real PDF</x:v>
      </x:c>
      <x:c r="D3" s="13" t="str">
        <x:v>KP-25-023-PSWT</x:v>
      </x:c>
      <x:c r="E3" s="13" t="str">
        <x:v>Criminal</x:v>
      </x:c>
      <x:c r="F3" s="13" t="str">
        <x:v>Paninigaw at pag-amba ng hahampasin</x:v>
      </x:c>
      <x:c r="G3" s="13" t="str">
        <x:v>March 4, 2025</x:v>
      </x:c>
      <x:c r="H3" s="13" t="str">
        <x:v>-</x:v>
      </x:c>
      <x:c r="I3" s="13" t="str">
        <x:v>Walang pagkakasundo sa dalawang panig kaya't ang maysumbong ay may karapatan ng maghain ng kaukulang reklamo sa kinauukulang tanggapan.</x:v>
      </x:c>
      <x:c r="J3" s="13" t="str">
        <x:v>Endorsed</x:v>
      </x:c>
      <x:c r="K3" s="13" t="str">
        <x:v>KP_COVERED_AMICABLE</x:v>
      </x:c>
      <x:c r="L3" s="13" t="str">
        <x:v>Eligible for KP screening</x:v>
      </x:c>
      <x:c r="M3" s="13" t="str">
        <x:v>Proceed to barangay conciliation / mediation screening</x:v>
      </x:c>
      <x:c r="N3" s="13" t="str">
        <x:v>Threat/harassment dispute; proceed to KP only if minor and no imminent danger or protected-person issue.</x:v>
      </x:c>
      <x:c r="O3" s="13" t="str"/>
      <x:c r="P3" s="13" t="str">
        <x:v>Paninigaw at pag-amba ng hahampasin</x:v>
      </x:c>
      <x:c r="Q3" s="13" t="str"/>
      <x:c r="R3" s="13" t="str">
        <x:v>KP CASE PSWT - Sheet1 - KP CASE PSWT - Sheet1.pdf</x:v>
      </x:c>
    </x:row>
    <x:row r="4" ht="36" customHeight="1">
      <x:c r="A4" s="13" t="str">
        <x:v>KP-25-036-PSWT</x:v>
      </x:c>
      <x:c r="B4" s="13" t="str">
        <x:v>threats</x:v>
      </x:c>
      <x:c r="C4" s="13" t="str">
        <x:v>Real PDF</x:v>
      </x:c>
      <x:c r="D4" s="13" t="str">
        <x:v>KP-25-036-PSWT</x:v>
      </x:c>
      <x:c r="E4" s="13" t="str">
        <x:v>Criminal</x:v>
      </x:c>
      <x:c r="F4" s="13" t="str">
        <x:v>Pambabato at pagbabanta</x:v>
      </x:c>
      <x:c r="G4" s="13" t="str">
        <x:v>April 12, 2025</x:v>
      </x:c>
      <x:c r="H4" s="13" t="str">
        <x:v>-</x:v>
      </x:c>
      <x:c r="I4" s="13" t="str">
        <x:v>Hindi dumadating ang ipinagsumbong sa oras ng hearing.</x:v>
      </x:c>
      <x:c r="J4" s="13" t="str">
        <x:v>Endorsed</x:v>
      </x:c>
      <x:c r="K4" s="13" t="str">
        <x:v>KP_COVERED_AMICABLE</x:v>
      </x:c>
      <x:c r="L4" s="13" t="str">
        <x:v>Eligible for KP screening</x:v>
      </x:c>
      <x:c r="M4" s="13" t="str">
        <x:v>Proceed to barangay conciliation / mediation screening</x:v>
      </x:c>
      <x:c r="N4" s="13" t="str">
        <x:v>Threat/harassment dispute; proceed to KP only if minor and no imminent danger or protected-person issue.</x:v>
      </x:c>
      <x:c r="O4" s="13" t="str"/>
      <x:c r="P4" s="13" t="str">
        <x:v>Pambabato at pagbabanta</x:v>
      </x:c>
      <x:c r="Q4" s="13" t="str"/>
      <x:c r="R4" s="13" t="str">
        <x:v>KP CASE PSWT - Sheet1 - KP CASE PSWT - Sheet1.pdf</x:v>
      </x:c>
    </x:row>
    <x:row r="5" ht="36" customHeight="1">
      <x:c r="A5" s="13" t="str">
        <x:v>KP-25-057-PSWT</x:v>
      </x:c>
      <x:c r="B5" s="13" t="str">
        <x:v>threats</x:v>
      </x:c>
      <x:c r="C5" s="13" t="str">
        <x:v>Real PDF</x:v>
      </x:c>
      <x:c r="D5" s="13" t="str">
        <x:v>KP-25-057-PSWT</x:v>
      </x:c>
      <x:c r="E5" s="13" t="str">
        <x:v>Criminal</x:v>
      </x:c>
      <x:c r="F5" s="13" t="str">
        <x:v>Pagbabanta</x:v>
      </x:c>
      <x:c r="G5" s="13" t="str">
        <x:v>June 20, 2025</x:v>
      </x:c>
      <x:c r="H5" s="13" t="str">
        <x:v>-</x:v>
      </x:c>
      <x:c r="I5" s="13" t="str">
        <x:v>Nagkaroon ng pagkakasundo. At nakahingian ng pasensya ang isa't isa. Ang usapin ay tinapos sa araw na ito.</x:v>
      </x:c>
      <x:c r="J5" s="13" t="str">
        <x:v>Settled</x:v>
      </x:c>
      <x:c r="K5" s="13" t="str">
        <x:v>KP_COVERED_AMICABLE</x:v>
      </x:c>
      <x:c r="L5" s="13" t="str">
        <x:v>Eligible for KP screening</x:v>
      </x:c>
      <x:c r="M5" s="13" t="str">
        <x:v>Proceed to barangay conciliation / mediation screening</x:v>
      </x:c>
      <x:c r="N5" s="13" t="str">
        <x:v>Threat/harassment dispute; proceed to KP only if minor and no imminent danger or protected-person issue.</x:v>
      </x:c>
      <x:c r="O5" s="13" t="str"/>
      <x:c r="P5" s="13" t="str">
        <x:v>Pagbabanta</x:v>
      </x:c>
      <x:c r="Q5" s="13" t="str"/>
      <x:c r="R5" s="13" t="str">
        <x:v>KP CASE PSWT - Sheet1 - KP CASE PSWT - Sheet1.pdf</x:v>
      </x:c>
    </x:row>
    <x:row r="6" ht="36" customHeight="1">
      <x:c r="A6" s="13" t="str">
        <x:v>KP-25-065-PSWT</x:v>
      </x:c>
      <x:c r="B6" s="13" t="str">
        <x:v>threats</x:v>
      </x:c>
      <x:c r="C6" s="13" t="str">
        <x:v>Real PDF</x:v>
      </x:c>
      <x:c r="D6" s="13" t="str">
        <x:v>KP-25-065-PSWT</x:v>
      </x:c>
      <x:c r="E6" s="13" t="str">
        <x:v>Criminal</x:v>
      </x:c>
      <x:c r="F6" s="13" t="str">
        <x:v>Pagbabanta at panggugulo</x:v>
      </x:c>
      <x:c r="G6" s="13" t="str">
        <x:v>August 5, 2025</x:v>
      </x:c>
      <x:c r="H6" s="13" t="str">
        <x:v>-</x:v>
      </x:c>
      <x:c r="I6" s="13" t="str">
        <x:v>Hindi dumadating ang ipinagsumbong kaya't ang maysumbong ay may karapatan ng maghain ng kaukulang reklamo sa kinauukulang tanggapan.</x:v>
      </x:c>
      <x:c r="J6" s="13" t="str">
        <x:v>Endorsed</x:v>
      </x:c>
      <x:c r="K6" s="13" t="str">
        <x:v>KP_COVERED_AMICABLE</x:v>
      </x:c>
      <x:c r="L6" s="13" t="str">
        <x:v>Eligible for KP screening</x:v>
      </x:c>
      <x:c r="M6" s="13" t="str">
        <x:v>Proceed to barangay conciliation / mediation screening</x:v>
      </x:c>
      <x:c r="N6" s="13" t="str">
        <x:v>Threat/harassment dispute; proceed to KP only if minor and no imminent danger or protected-person issue.</x:v>
      </x:c>
      <x:c r="O6" s="13" t="str"/>
      <x:c r="P6" s="13" t="str">
        <x:v>Pagbabanta at panggugulo</x:v>
      </x:c>
      <x:c r="Q6" s="13" t="str"/>
      <x:c r="R6" s="13" t="str">
        <x:v>KP CASE PSWT - Sheet1 - KP CASE PSWT - Sheet1.pdf</x:v>
      </x:c>
    </x:row>
    <x:row r="7" ht="36" customHeight="1">
      <x:c r="A7" s="13" t="str">
        <x:v>KP-25-080-PSWT</x:v>
      </x:c>
      <x:c r="B7" s="13" t="str">
        <x:v>threats</x:v>
      </x:c>
      <x:c r="C7" s="13" t="str">
        <x:v>Real PDF</x:v>
      </x:c>
      <x:c r="D7" s="13" t="str">
        <x:v>KP-25-080-PSWT</x:v>
      </x:c>
      <x:c r="E7" s="13" t="str">
        <x:v>Criminal</x:v>
      </x:c>
      <x:c r="F7" s="13" t="str">
        <x:v>Pagbabanta sa kanilang kapatid</x:v>
      </x:c>
      <x:c r="G7" s="13" t="str">
        <x:v>September 7, 2025</x:v>
      </x:c>
      <x:c r="H7" s="13" t="str">
        <x:v>September 25, 2025</x:v>
      </x:c>
      <x:c r="I7" s="13" t="str">
        <x:v>Ang usapin ay tinatapos na.</x:v>
      </x:c>
      <x:c r="J7" s="13" t="str">
        <x:v>Settled</x:v>
      </x:c>
      <x:c r="K7" s="13" t="str">
        <x:v>KP_COVERED_AMICABLE</x:v>
      </x:c>
      <x:c r="L7" s="13" t="str">
        <x:v>Eligible for KP screening</x:v>
      </x:c>
      <x:c r="M7" s="13" t="str">
        <x:v>Proceed to barangay conciliation / mediation screening</x:v>
      </x:c>
      <x:c r="N7" s="13" t="str">
        <x:v>Threat/harassment dispute; proceed to KP only if minor and no imminent danger or protected-person issue.</x:v>
      </x:c>
      <x:c r="O7" s="13" t="str"/>
      <x:c r="P7" s="13" t="str">
        <x:v>Pagbabanta sa kanilang kapatid</x:v>
      </x:c>
      <x:c r="Q7" s="13" t="str"/>
      <x:c r="R7" s="13" t="str">
        <x:v>KP CASE PSWT - Sheet1 - KP CASE PSWT - Sheet1.pdf</x:v>
      </x:c>
    </x:row>
    <x:row r="8" ht="36" customHeight="1">
      <x:c r="A8" s="13" t="str">
        <x:v>KP-25-083-PSWT</x:v>
      </x:c>
      <x:c r="B8" s="13" t="str">
        <x:v>threats</x:v>
      </x:c>
      <x:c r="C8" s="13" t="str">
        <x:v>Real PDF</x:v>
      </x:c>
      <x:c r="D8" s="13" t="str">
        <x:v>KP-25-083-PSWT</x:v>
      </x:c>
      <x:c r="E8" s="13" t="str">
        <x:v>Criminal</x:v>
      </x:c>
      <x:c r="F8" s="13" t="str">
        <x:v>PAgbabanta</x:v>
      </x:c>
      <x:c r="G8" s="13" t="str">
        <x:v>September 22, 2025</x:v>
      </x:c>
      <x:c r="H8" s="13" t="str">
        <x:v>-</x:v>
      </x:c>
      <x:c r="I8" s="13" t="str">
        <x:v>Ang ipinagsumbong ay hindi nadating sa araw ng paghaharap kaya't ang maysumbong ay may karapatan ng maghain ng kaukulang reklamo sa kinauukulang tanggapan.</x:v>
      </x:c>
      <x:c r="J8" s="13" t="str">
        <x:v>Endorsed</x:v>
      </x:c>
      <x:c r="K8" s="13" t="str">
        <x:v>KP_COVERED_AMICABLE</x:v>
      </x:c>
      <x:c r="L8" s="13" t="str">
        <x:v>Eligible for KP screening</x:v>
      </x:c>
      <x:c r="M8" s="13" t="str">
        <x:v>Proceed to barangay conciliation / mediation screening</x:v>
      </x:c>
      <x:c r="N8" s="13" t="str">
        <x:v>Threat/harassment dispute; proceed to KP only if minor and no imminent danger or protected-person issue.</x:v>
      </x:c>
      <x:c r="O8" s="13" t="str"/>
      <x:c r="P8" s="13" t="str">
        <x:v>PAgbabanta</x:v>
      </x:c>
      <x:c r="Q8" s="13" t="str"/>
      <x:c r="R8" s="13" t="str">
        <x:v>KP CASE PSWT - Sheet1 - KP CASE PSWT - Sheet1.pdf</x:v>
      </x:c>
    </x:row>
    <x:row r="9" ht="36" customHeight="1">
      <x:c r="A9" s="13" t="str">
        <x:v>KP-25-097-PSWT</x:v>
      </x:c>
      <x:c r="B9" s="13" t="str">
        <x:v>threats</x:v>
      </x:c>
      <x:c r="C9" s="13" t="str">
        <x:v>Real PDF</x:v>
      </x:c>
      <x:c r="D9" s="13" t="str">
        <x:v>KP-25-097-PSWT</x:v>
      </x:c>
      <x:c r="E9" s="13" t="str">
        <x:v>Criminal</x:v>
      </x:c>
      <x:c r="F9" s="13" t="str">
        <x:v>Pagbabanta na susunugin ang bahay</x:v>
      </x:c>
      <x:c r="G9" s="13" t="str">
        <x:v>November 3, 2025</x:v>
      </x:c>
      <x:c r="H9" s="13" t="str">
        <x:v>-</x:v>
      </x:c>
      <x:c r="I9" s="13" t="str">
        <x:v>Nagkaroon ng unang paghaharap subalit walang pagkakasundo. Pangalawa at pangatlong hearing hindi nakarating ang ipinagsumbong kaya't ang maysumbong ay may karapatan ng maghain ng kaukulang reklamo sa kinauukulang tanggapan.</x:v>
      </x:c>
      <x:c r="J9" s="13" t="str">
        <x:v>Endorsed</x:v>
      </x:c>
      <x:c r="K9" s="13" t="str">
        <x:v>KP_COVERED_AMICABLE</x:v>
      </x:c>
      <x:c r="L9" s="13" t="str">
        <x:v>Eligible for KP screening</x:v>
      </x:c>
      <x:c r="M9" s="13" t="str">
        <x:v>Proceed to barangay conciliation / mediation screening</x:v>
      </x:c>
      <x:c r="N9" s="13" t="str">
        <x:v>Threat/harassment dispute; proceed to KP only if minor and no imminent danger or protected-person issue.</x:v>
      </x:c>
      <x:c r="O9" s="13" t="str"/>
      <x:c r="P9" s="13" t="str">
        <x:v>Pagbabanta na susunugin ang bahay</x:v>
      </x:c>
      <x:c r="Q9" s="13" t="str"/>
      <x:c r="R9" s="13" t="str">
        <x:v>KP CASE PSWT - Sheet1 - KP CASE PSWT - Sheet1.pdf</x:v>
      </x:c>
    </x:row>
    <x:row r="10" ht="36" customHeight="1">
      <x:c r="A10" s="13" t="str">
        <x:v>KP-25-102-PSWT</x:v>
      </x:c>
      <x:c r="B10" s="13" t="str">
        <x:v>threats</x:v>
      </x:c>
      <x:c r="C10" s="13" t="str">
        <x:v>Real PDF</x:v>
      </x:c>
      <x:c r="D10" s="13" t="str">
        <x:v>KP-25-102-PSWT</x:v>
      </x:c>
      <x:c r="E10" s="13" t="str">
        <x:v>Criminal</x:v>
      </x:c>
      <x:c r="F10" s="13" t="str">
        <x:v>Pagbabanta at pambubully</x:v>
      </x:c>
      <x:c r="G10" s="13" t="str">
        <x:v>November 14, 2025</x:v>
      </x:c>
      <x:c r="H10" s="13" t="str">
        <x:v>-</x:v>
      </x:c>
      <x:c r="I10" s="13" t="str">
        <x:v>Walang pagkakasundo ang maysumbong ay hindi na bumalik.</x:v>
      </x:c>
      <x:c r="J10" s="13" t="str">
        <x:v>Dismiss</x:v>
      </x:c>
      <x:c r="K10" s="13" t="str">
        <x:v>KP_COVERED_AMICABLE</x:v>
      </x:c>
      <x:c r="L10" s="13" t="str">
        <x:v>Eligible for KP screening</x:v>
      </x:c>
      <x:c r="M10" s="13" t="str">
        <x:v>Proceed to barangay conciliation / mediation screening</x:v>
      </x:c>
      <x:c r="N10" s="13" t="str">
        <x:v>Threat/harassment dispute; proceed to KP only if minor and no imminent danger or protected-person issue.</x:v>
      </x:c>
      <x:c r="O10" s="13" t="str"/>
      <x:c r="P10" s="13" t="str">
        <x:v>Pagbabanta at pambubully</x:v>
      </x:c>
      <x:c r="Q10" s="13" t="str"/>
      <x:c r="R10" s="13" t="str">
        <x:v>KP CASE PSWT - Sheet1 - KP CASE PSWT - Sheet1.pdf</x:v>
      </x:c>
    </x:row>
    <x:row r="11" ht="36" customHeight="1">
      <x:c r="A11" s="13" t="str">
        <x:v>SYN-THRT-001</x:v>
      </x:c>
      <x:c r="B11" s="13" t="str">
        <x:v>threats</x:v>
      </x:c>
      <x:c r="C11" s="13" t="str">
        <x:v>Synthetic</x:v>
      </x:c>
      <x:c r="D11" s="13" t="str"/>
      <x:c r="E11" s="13" t="str">
        <x:v>Criminal</x:v>
      </x:c>
      <x:c r="F11" s="13" t="str">
        <x:v>Pagbabanta na sisirain ang gate ng kapitbahay</x:v>
      </x:c>
      <x:c r="G11" s="13" t="str">
        <x:v>January 7, 2026</x:v>
      </x:c>
      <x:c r="H11" s="13" t="str">
        <x:v>-</x:v>
      </x:c>
      <x:c r="I11" s="13" t="str">
        <x:v>Synthetic example: no weapon or serious medical finding stated; system must still screen severity and immediate danger.</x:v>
      </x:c>
      <x:c r="J11" s="13" t="str">
        <x:v>For Screening</x:v>
      </x:c>
      <x:c r="K11" s="13" t="str">
        <x:v>KP_COVERED_AMICABLE</x:v>
      </x:c>
      <x:c r="L11" s="13" t="str">
        <x:v>Eligible for KP screening with safety check</x:v>
      </x:c>
      <x:c r="M11" s="13" t="str">
        <x:v>Screen imminent danger/protected-person issue, then mediate only if eligible</x:v>
      </x:c>
      <x:c r="N11" s="13" t="str">
        <x:v>Threat/harassment example; requires safety screening.</x:v>
      </x:c>
      <x:c r="O11" s="13" t="str"/>
      <x:c r="P11" s="13" t="str">
        <x:v>Pagbabanta na sisirain ang gate ng kapitbahay</x:v>
      </x:c>
      <x:c r="Q11" s="13" t="str">
        <x:v>Added to balance 'threats' to 49 examples using the same Justice KP label schema.</x:v>
      </x:c>
      <x:c r="R11" s="13" t="str">
        <x:v>Synthetic row based on category coverage gap from uploaded PDF</x:v>
      </x:c>
    </x:row>
    <x:row r="12" ht="36" customHeight="1">
      <x:c r="A12" s="13" t="str">
        <x:v>SYN-THRT-002</x:v>
      </x:c>
      <x:c r="B12" s="13" t="str">
        <x:v>threats</x:v>
      </x:c>
      <x:c r="C12" s="13" t="str">
        <x:v>Synthetic</x:v>
      </x:c>
      <x:c r="D12" s="13" t="str"/>
      <x:c r="E12" s="13" t="str">
        <x:v>Criminal</x:v>
      </x:c>
      <x:c r="F12" s="13" t="str">
        <x:v>Pag-amba na hahampasin habang nagtatalo sa daanan</x:v>
      </x:c>
      <x:c r="G12" s="13" t="str">
        <x:v>January 10, 2026</x:v>
      </x:c>
      <x:c r="H12" s="13" t="str">
        <x:v>-</x:v>
      </x:c>
      <x:c r="I12" s="13" t="str">
        <x:v>Synthetic example: no weapon or serious medical finding stated; system must still screen severity and immediate danger.</x:v>
      </x:c>
      <x:c r="J12" s="13" t="str">
        <x:v>For Screening</x:v>
      </x:c>
      <x:c r="K12" s="13" t="str">
        <x:v>KP_COVERED_AMICABLE</x:v>
      </x:c>
      <x:c r="L12" s="13" t="str">
        <x:v>Eligible for KP screening with safety check</x:v>
      </x:c>
      <x:c r="M12" s="13" t="str">
        <x:v>Screen imminent danger/protected-person issue, then mediate only if eligible</x:v>
      </x:c>
      <x:c r="N12" s="13" t="str">
        <x:v>Threat/harassment example; requires safety screening.</x:v>
      </x:c>
      <x:c r="O12" s="13" t="str"/>
      <x:c r="P12" s="13" t="str">
        <x:v>Pag-amba na hahampasin habang nagtatalo sa daanan</x:v>
      </x:c>
      <x:c r="Q12" s="13" t="str">
        <x:v>Added to balance 'threats' to 49 examples using the same Justice KP label schema.</x:v>
      </x:c>
      <x:c r="R12" s="13" t="str">
        <x:v>Synthetic row based on category coverage gap from uploaded PDF</x:v>
      </x:c>
    </x:row>
    <x:row r="13" ht="36" customHeight="1">
      <x:c r="A13" s="13" t="str">
        <x:v>SYN-THRT-003</x:v>
      </x:c>
      <x:c r="B13" s="13" t="str">
        <x:v>threats</x:v>
      </x:c>
      <x:c r="C13" s="13" t="str">
        <x:v>Synthetic</x:v>
      </x:c>
      <x:c r="D13" s="13" t="str"/>
      <x:c r="E13" s="13" t="str">
        <x:v>Criminal</x:v>
      </x:c>
      <x:c r="F13" s="13" t="str">
        <x:v>Pananakot sa kapatid tungkol sa gamit na hiniram</x:v>
      </x:c>
      <x:c r="G13" s="13" t="str">
        <x:v>January 13, 2026</x:v>
      </x:c>
      <x:c r="H13" s="13" t="str">
        <x:v>-</x:v>
      </x:c>
      <x:c r="I13" s="13" t="str">
        <x:v>Synthetic example: no weapon or serious medical finding stated; system must still screen severity and immediate danger.</x:v>
      </x:c>
      <x:c r="J13" s="13" t="str">
        <x:v>For Screening</x:v>
      </x:c>
      <x:c r="K13" s="13" t="str">
        <x:v>KP_COVERED_AMICABLE</x:v>
      </x:c>
      <x:c r="L13" s="13" t="str">
        <x:v>Eligible for KP screening with safety check</x:v>
      </x:c>
      <x:c r="M13" s="13" t="str">
        <x:v>Screen imminent danger/protected-person issue, then mediate only if eligible</x:v>
      </x:c>
      <x:c r="N13" s="13" t="str">
        <x:v>Threat/harassment example; requires safety screening.</x:v>
      </x:c>
      <x:c r="O13" s="13" t="str"/>
      <x:c r="P13" s="13" t="str">
        <x:v>Pananakot sa kapatid tungkol sa gamit na hiniram</x:v>
      </x:c>
      <x:c r="Q13" s="13" t="str">
        <x:v>Added to balance 'threats' to 49 examples using the same Justice KP label schema.</x:v>
      </x:c>
      <x:c r="R13" s="13" t="str">
        <x:v>Synthetic row based on category coverage gap from uploaded PDF</x:v>
      </x:c>
    </x:row>
    <x:row r="14" ht="36" customHeight="1">
      <x:c r="A14" s="13" t="str">
        <x:v>SYN-THRT-004</x:v>
      </x:c>
      <x:c r="B14" s="13" t="str">
        <x:v>threats</x:v>
      </x:c>
      <x:c r="C14" s="13" t="str">
        <x:v>Synthetic</x:v>
      </x:c>
      <x:c r="D14" s="13" t="str"/>
      <x:c r="E14" s="13" t="str">
        <x:v>Criminal</x:v>
      </x:c>
      <x:c r="F14" s="13" t="str">
        <x:v>Pagbabanta sa text message matapos ang hindi pagkakasundo</x:v>
      </x:c>
      <x:c r="G14" s="13" t="str">
        <x:v>January 16, 2026</x:v>
      </x:c>
      <x:c r="H14" s="13" t="str">
        <x:v>-</x:v>
      </x:c>
      <x:c r="I14" s="13" t="str">
        <x:v>Synthetic example: no weapon or serious medical finding stated; system must still screen severity and immediate danger.</x:v>
      </x:c>
      <x:c r="J14" s="13" t="str">
        <x:v>For Screening</x:v>
      </x:c>
      <x:c r="K14" s="13" t="str">
        <x:v>KP_COVERED_AMICABLE</x:v>
      </x:c>
      <x:c r="L14" s="13" t="str">
        <x:v>Eligible for KP screening with safety check</x:v>
      </x:c>
      <x:c r="M14" s="13" t="str">
        <x:v>Screen imminent danger/protected-person issue, then mediate only if eligible</x:v>
      </x:c>
      <x:c r="N14" s="13" t="str">
        <x:v>Threat/harassment example; requires safety screening.</x:v>
      </x:c>
      <x:c r="O14" s="13" t="str"/>
      <x:c r="P14" s="13" t="str">
        <x:v>Pagbabanta sa text message matapos ang hindi pagkakasundo</x:v>
      </x:c>
      <x:c r="Q14" s="13" t="str">
        <x:v>Added to balance 'threats' to 49 examples using the same Justice KP label schema.</x:v>
      </x:c>
      <x:c r="R14" s="13" t="str">
        <x:v>Synthetic row based on category coverage gap from uploaded PDF</x:v>
      </x:c>
    </x:row>
    <x:row r="15" ht="36" customHeight="1">
      <x:c r="A15" s="13" t="str">
        <x:v>SYN-THRT-005</x:v>
      </x:c>
      <x:c r="B15" s="13" t="str">
        <x:v>threats</x:v>
      </x:c>
      <x:c r="C15" s="13" t="str">
        <x:v>Synthetic</x:v>
      </x:c>
      <x:c r="D15" s="13" t="str"/>
      <x:c r="E15" s="13" t="str">
        <x:v>Criminal</x:v>
      </x:c>
      <x:c r="F15" s="13" t="str">
        <x:v>Panggugulo at pagbabanta sa harap ng bahay</x:v>
      </x:c>
      <x:c r="G15" s="13" t="str">
        <x:v>January 19, 2026</x:v>
      </x:c>
      <x:c r="H15" s="13" t="str">
        <x:v>-</x:v>
      </x:c>
      <x:c r="I15" s="13" t="str">
        <x:v>Synthetic example: no weapon or serious medical finding stated; system must still screen severity and immediate danger.</x:v>
      </x:c>
      <x:c r="J15" s="13" t="str">
        <x:v>For Screening</x:v>
      </x:c>
      <x:c r="K15" s="13" t="str">
        <x:v>KP_COVERED_AMICABLE</x:v>
      </x:c>
      <x:c r="L15" s="13" t="str">
        <x:v>Eligible for KP screening with safety check</x:v>
      </x:c>
      <x:c r="M15" s="13" t="str">
        <x:v>Screen imminent danger/protected-person issue, then mediate only if eligible</x:v>
      </x:c>
      <x:c r="N15" s="13" t="str">
        <x:v>Threat/harassment example; requires safety screening.</x:v>
      </x:c>
      <x:c r="O15" s="13" t="str"/>
      <x:c r="P15" s="13" t="str">
        <x:v>Panggugulo at pagbabanta sa harap ng bahay</x:v>
      </x:c>
      <x:c r="Q15" s="13" t="str">
        <x:v>Added to balance 'threats' to 49 examples using the same Justice KP label schema.</x:v>
      </x:c>
      <x:c r="R15" s="13" t="str">
        <x:v>Synthetic row based on category coverage gap from uploaded PDF</x:v>
      </x:c>
    </x:row>
    <x:row r="16" ht="36" customHeight="1">
      <x:c r="A16" s="13" t="str">
        <x:v>SYN-THRT-006</x:v>
      </x:c>
      <x:c r="B16" s="13" t="str">
        <x:v>threats</x:v>
      </x:c>
      <x:c r="C16" s="13" t="str">
        <x:v>Synthetic</x:v>
      </x:c>
      <x:c r="D16" s="13" t="str"/>
      <x:c r="E16" s="13" t="str">
        <x:v>Criminal</x:v>
      </x:c>
      <x:c r="F16" s="13" t="str">
        <x:v>Pagbabanta na ipapahiya sa social media kung hindi magbabayad</x:v>
      </x:c>
      <x:c r="G16" s="13" t="str">
        <x:v>January 22, 2026</x:v>
      </x:c>
      <x:c r="H16" s="13" t="str">
        <x:v>-</x:v>
      </x:c>
      <x:c r="I16" s="13" t="str">
        <x:v>Synthetic example: no weapon or serious medical finding stated; system must still screen severity and immediate danger.</x:v>
      </x:c>
      <x:c r="J16" s="13" t="str">
        <x:v>For Screening</x:v>
      </x:c>
      <x:c r="K16" s="13" t="str">
        <x:v>KP_COVERED_AMICABLE</x:v>
      </x:c>
      <x:c r="L16" s="13" t="str">
        <x:v>Eligible for KP screening with safety check</x:v>
      </x:c>
      <x:c r="M16" s="13" t="str">
        <x:v>Screen imminent danger/protected-person issue, then mediate only if eligible</x:v>
      </x:c>
      <x:c r="N16" s="13" t="str">
        <x:v>Threat/harassment example; requires safety screening.</x:v>
      </x:c>
      <x:c r="O16" s="13" t="str"/>
      <x:c r="P16" s="13" t="str">
        <x:v>Pagbabanta na ipapahiya sa social media kung hindi magbabayad</x:v>
      </x:c>
      <x:c r="Q16" s="13" t="str">
        <x:v>Added to balance 'threats' to 49 examples using the same Justice KP label schema.</x:v>
      </x:c>
      <x:c r="R16" s="13" t="str">
        <x:v>Synthetic row based on category coverage gap from uploaded PDF</x:v>
      </x:c>
    </x:row>
    <x:row r="17" ht="36" customHeight="1">
      <x:c r="A17" s="13" t="str">
        <x:v>SYN-THRT-007</x:v>
      </x:c>
      <x:c r="B17" s="13" t="str">
        <x:v>threats</x:v>
      </x:c>
      <x:c r="C17" s="13" t="str">
        <x:v>Synthetic</x:v>
      </x:c>
      <x:c r="D17" s="13" t="str"/>
      <x:c r="E17" s="13" t="str">
        <x:v>Criminal</x:v>
      </x:c>
      <x:c r="F17" s="13" t="str">
        <x:v>Paninigaw at pag-amba ng pananakit sa kapitbahay</x:v>
      </x:c>
      <x:c r="G17" s="13" t="str">
        <x:v>January 25, 2026</x:v>
      </x:c>
      <x:c r="H17" s="13" t="str">
        <x:v>-</x:v>
      </x:c>
      <x:c r="I17" s="13" t="str">
        <x:v>Synthetic example: no weapon or serious medical finding stated; system must still screen severity and immediate danger.</x:v>
      </x:c>
      <x:c r="J17" s="13" t="str">
        <x:v>For Screening</x:v>
      </x:c>
      <x:c r="K17" s="13" t="str">
        <x:v>KP_COVERED_AMICABLE</x:v>
      </x:c>
      <x:c r="L17" s="13" t="str">
        <x:v>Eligible for KP screening with safety check</x:v>
      </x:c>
      <x:c r="M17" s="13" t="str">
        <x:v>Screen imminent danger/protected-person issue, then mediate only if eligible</x:v>
      </x:c>
      <x:c r="N17" s="13" t="str">
        <x:v>Threat/harassment example; requires safety screening.</x:v>
      </x:c>
      <x:c r="O17" s="13" t="str"/>
      <x:c r="P17" s="13" t="str">
        <x:v>Paninigaw at pag-amba ng pananakit sa kapitbahay</x:v>
      </x:c>
      <x:c r="Q17" s="13" t="str">
        <x:v>Added to balance 'threats' to 49 examples using the same Justice KP label schema.</x:v>
      </x:c>
      <x:c r="R17" s="13" t="str">
        <x:v>Synthetic row based on category coverage gap from uploaded PDF</x:v>
      </x:c>
    </x:row>
    <x:row r="18" ht="36" customHeight="1">
      <x:c r="A18" s="13" t="str">
        <x:v>SYN-THRT-008</x:v>
      </x:c>
      <x:c r="B18" s="13" t="str">
        <x:v>threats</x:v>
      </x:c>
      <x:c r="C18" s="13" t="str">
        <x:v>Synthetic</x:v>
      </x:c>
      <x:c r="D18" s="13" t="str"/>
      <x:c r="E18" s="13" t="str">
        <x:v>Criminal</x:v>
      </x:c>
      <x:c r="F18" s="13" t="str">
        <x:v>Pagbabanta tungkol sa away sa parking space</x:v>
      </x:c>
      <x:c r="G18" s="13" t="str">
        <x:v>January 28, 2026</x:v>
      </x:c>
      <x:c r="H18" s="13" t="str">
        <x:v>-</x:v>
      </x:c>
      <x:c r="I18" s="13" t="str">
        <x:v>Synthetic example: no weapon or serious medical finding stated; system must still screen severity and immediate danger.</x:v>
      </x:c>
      <x:c r="J18" s="13" t="str">
        <x:v>For Screening</x:v>
      </x:c>
      <x:c r="K18" s="13" t="str">
        <x:v>KP_COVERED_AMICABLE</x:v>
      </x:c>
      <x:c r="L18" s="13" t="str">
        <x:v>Eligible for KP screening with safety check</x:v>
      </x:c>
      <x:c r="M18" s="13" t="str">
        <x:v>Screen imminent danger/protected-person issue, then mediate only if eligible</x:v>
      </x:c>
      <x:c r="N18" s="13" t="str">
        <x:v>Threat/harassment example; requires safety screening.</x:v>
      </x:c>
      <x:c r="O18" s="13" t="str"/>
      <x:c r="P18" s="13" t="str">
        <x:v>Pagbabanta tungkol sa away sa parking space</x:v>
      </x:c>
      <x:c r="Q18" s="13" t="str">
        <x:v>Added to balance 'threats' to 49 examples using the same Justice KP label schema.</x:v>
      </x:c>
      <x:c r="R18" s="13" t="str">
        <x:v>Synthetic row based on category coverage gap from uploaded PDF</x:v>
      </x:c>
    </x:row>
    <x:row r="19" ht="36" customHeight="1">
      <x:c r="A19" s="13" t="str">
        <x:v>SYN-THRT-009</x:v>
      </x:c>
      <x:c r="B19" s="13" t="str">
        <x:v>threats</x:v>
      </x:c>
      <x:c r="C19" s="13" t="str">
        <x:v>Synthetic</x:v>
      </x:c>
      <x:c r="D19" s="13" t="str"/>
      <x:c r="E19" s="13" t="str">
        <x:v>Criminal</x:v>
      </x:c>
      <x:c r="F19" s="13" t="str">
        <x:v>Pagbabanta habang lasing sa labas ng bahay</x:v>
      </x:c>
      <x:c r="G19" s="13" t="str">
        <x:v>January 31, 2026</x:v>
      </x:c>
      <x:c r="H19" s="13" t="str">
        <x:v>-</x:v>
      </x:c>
      <x:c r="I19" s="13" t="str">
        <x:v>Synthetic example: no weapon or serious medical finding stated; system must still screen severity and immediate danger.</x:v>
      </x:c>
      <x:c r="J19" s="13" t="str">
        <x:v>For Screening</x:v>
      </x:c>
      <x:c r="K19" s="13" t="str">
        <x:v>KP_COVERED_AMICABLE</x:v>
      </x:c>
      <x:c r="L19" s="13" t="str">
        <x:v>Eligible for KP screening with safety check</x:v>
      </x:c>
      <x:c r="M19" s="13" t="str">
        <x:v>Screen imminent danger/protected-person issue, then mediate only if eligible</x:v>
      </x:c>
      <x:c r="N19" s="13" t="str">
        <x:v>Threat/harassment example; requires safety screening.</x:v>
      </x:c>
      <x:c r="O19" s="13" t="str"/>
      <x:c r="P19" s="13" t="str">
        <x:v>Pagbabanta habang lasing sa labas ng bahay</x:v>
      </x:c>
      <x:c r="Q19" s="13" t="str">
        <x:v>Added to balance 'threats' to 49 examples using the same Justice KP label schema.</x:v>
      </x:c>
      <x:c r="R19" s="13" t="str">
        <x:v>Synthetic row based on category coverage gap from uploaded PDF</x:v>
      </x:c>
    </x:row>
    <x:row r="20" ht="36" customHeight="1">
      <x:c r="A20" s="13" t="str">
        <x:v>SYN-THRT-010</x:v>
      </x:c>
      <x:c r="B20" s="13" t="str">
        <x:v>threats</x:v>
      </x:c>
      <x:c r="C20" s="13" t="str">
        <x:v>Synthetic</x:v>
      </x:c>
      <x:c r="D20" s="13" t="str"/>
      <x:c r="E20" s="13" t="str">
        <x:v>Criminal</x:v>
      </x:c>
      <x:c r="F20" s="13" t="str">
        <x:v>Pambubully at pananakot sa kapitbahay</x:v>
      </x:c>
      <x:c r="G20" s="13" t="str">
        <x:v>February 3, 2026</x:v>
      </x:c>
      <x:c r="H20" s="13" t="str">
        <x:v>-</x:v>
      </x:c>
      <x:c r="I20" s="13" t="str">
        <x:v>Synthetic example: no weapon or serious medical finding stated; system must still screen severity and immediate danger.</x:v>
      </x:c>
      <x:c r="J20" s="13" t="str">
        <x:v>For Screening</x:v>
      </x:c>
      <x:c r="K20" s="13" t="str">
        <x:v>KP_COVERED_AMICABLE</x:v>
      </x:c>
      <x:c r="L20" s="13" t="str">
        <x:v>Eligible for KP screening with safety check</x:v>
      </x:c>
      <x:c r="M20" s="13" t="str">
        <x:v>Screen imminent danger/protected-person issue, then mediate only if eligible</x:v>
      </x:c>
      <x:c r="N20" s="13" t="str">
        <x:v>Threat/harassment example; requires safety screening.</x:v>
      </x:c>
      <x:c r="O20" s="13" t="str"/>
      <x:c r="P20" s="13" t="str">
        <x:v>Pambubully at pananakot sa kapitbahay</x:v>
      </x:c>
      <x:c r="Q20" s="13" t="str">
        <x:v>Added to balance 'threats' to 49 examples using the same Justice KP label schema.</x:v>
      </x:c>
      <x:c r="R20" s="13" t="str">
        <x:v>Synthetic row based on category coverage gap from uploaded PDF</x:v>
      </x:c>
    </x:row>
    <x:row r="21" ht="36" customHeight="1">
      <x:c r="A21" s="13" t="str">
        <x:v>SYN-THRT-011</x:v>
      </x:c>
      <x:c r="B21" s="13" t="str">
        <x:v>threats</x:v>
      </x:c>
      <x:c r="C21" s="13" t="str">
        <x:v>Synthetic</x:v>
      </x:c>
      <x:c r="D21" s="13" t="str"/>
      <x:c r="E21" s="13" t="str">
        <x:v>Criminal</x:v>
      </x:c>
      <x:c r="F21" s="13" t="str">
        <x:v>Pagbabanta na sisirain ang gate ng kapitbahay</x:v>
      </x:c>
      <x:c r="G21" s="13" t="str">
        <x:v>February 6, 2026</x:v>
      </x:c>
      <x:c r="H21" s="13" t="str">
        <x:v>-</x:v>
      </x:c>
      <x:c r="I21" s="13" t="str">
        <x:v>Synthetic example: no weapon or serious medical finding stated; system must still screen severity and immediate danger.</x:v>
      </x:c>
      <x:c r="J21" s="13" t="str">
        <x:v>For Screening</x:v>
      </x:c>
      <x:c r="K21" s="13" t="str">
        <x:v>KP_COVERED_AMICABLE</x:v>
      </x:c>
      <x:c r="L21" s="13" t="str">
        <x:v>Eligible for KP screening with safety check</x:v>
      </x:c>
      <x:c r="M21" s="13" t="str">
        <x:v>Screen imminent danger/protected-person issue, then mediate only if eligible</x:v>
      </x:c>
      <x:c r="N21" s="13" t="str">
        <x:v>Threat/harassment example; requires safety screening.</x:v>
      </x:c>
      <x:c r="O21" s="13" t="str"/>
      <x:c r="P21" s="13" t="str">
        <x:v>Pagbabanta na sisirain ang gate ng kapitbahay</x:v>
      </x:c>
      <x:c r="Q21" s="13" t="str">
        <x:v>Added to balance 'threats' to 49 examples using the same Justice KP label schema.</x:v>
      </x:c>
      <x:c r="R21" s="13" t="str">
        <x:v>Synthetic row based on category coverage gap from uploaded PDF</x:v>
      </x:c>
    </x:row>
    <x:row r="22" ht="36" customHeight="1">
      <x:c r="A22" s="13" t="str">
        <x:v>SYN-THRT-012</x:v>
      </x:c>
      <x:c r="B22" s="13" t="str">
        <x:v>threats</x:v>
      </x:c>
      <x:c r="C22" s="13" t="str">
        <x:v>Synthetic</x:v>
      </x:c>
      <x:c r="D22" s="13" t="str"/>
      <x:c r="E22" s="13" t="str">
        <x:v>Criminal</x:v>
      </x:c>
      <x:c r="F22" s="13" t="str">
        <x:v>Pag-amba na hahampasin habang nagtatalo sa daanan</x:v>
      </x:c>
      <x:c r="G22" s="13" t="str">
        <x:v>February 9, 2026</x:v>
      </x:c>
      <x:c r="H22" s="13" t="str">
        <x:v>-</x:v>
      </x:c>
      <x:c r="I22" s="13" t="str">
        <x:v>Synthetic example: no weapon or serious medical finding stated; system must still screen severity and immediate danger.</x:v>
      </x:c>
      <x:c r="J22" s="13" t="str">
        <x:v>For Screening</x:v>
      </x:c>
      <x:c r="K22" s="13" t="str">
        <x:v>KP_COVERED_AMICABLE</x:v>
      </x:c>
      <x:c r="L22" s="13" t="str">
        <x:v>Eligible for KP screening with safety check</x:v>
      </x:c>
      <x:c r="M22" s="13" t="str">
        <x:v>Screen imminent danger/protected-person issue, then mediate only if eligible</x:v>
      </x:c>
      <x:c r="N22" s="13" t="str">
        <x:v>Threat/harassment example; requires safety screening.</x:v>
      </x:c>
      <x:c r="O22" s="13" t="str"/>
      <x:c r="P22" s="13" t="str">
        <x:v>Pag-amba na hahampasin habang nagtatalo sa daanan</x:v>
      </x:c>
      <x:c r="Q22" s="13" t="str">
        <x:v>Added to balance 'threats' to 49 examples using the same Justice KP label schema.</x:v>
      </x:c>
      <x:c r="R22" s="13" t="str">
        <x:v>Synthetic row based on category coverage gap from uploaded PDF</x:v>
      </x:c>
    </x:row>
    <x:row r="23" ht="36" customHeight="1">
      <x:c r="A23" s="13" t="str">
        <x:v>SYN-THRT-013</x:v>
      </x:c>
      <x:c r="B23" s="13" t="str">
        <x:v>threats</x:v>
      </x:c>
      <x:c r="C23" s="13" t="str">
        <x:v>Synthetic</x:v>
      </x:c>
      <x:c r="D23" s="13" t="str"/>
      <x:c r="E23" s="13" t="str">
        <x:v>Criminal</x:v>
      </x:c>
      <x:c r="F23" s="13" t="str">
        <x:v>Pananakot sa kapatid tungkol sa gamit na hiniram</x:v>
      </x:c>
      <x:c r="G23" s="13" t="str">
        <x:v>February 12, 2026</x:v>
      </x:c>
      <x:c r="H23" s="13" t="str">
        <x:v>-</x:v>
      </x:c>
      <x:c r="I23" s="13" t="str">
        <x:v>Synthetic example: no weapon or serious medical finding stated; system must still screen severity and immediate danger.</x:v>
      </x:c>
      <x:c r="J23" s="13" t="str">
        <x:v>For Screening</x:v>
      </x:c>
      <x:c r="K23" s="13" t="str">
        <x:v>KP_COVERED_AMICABLE</x:v>
      </x:c>
      <x:c r="L23" s="13" t="str">
        <x:v>Eligible for KP screening with safety check</x:v>
      </x:c>
      <x:c r="M23" s="13" t="str">
        <x:v>Screen imminent danger/protected-person issue, then mediate only if eligible</x:v>
      </x:c>
      <x:c r="N23" s="13" t="str">
        <x:v>Threat/harassment example; requires safety screening.</x:v>
      </x:c>
      <x:c r="O23" s="13" t="str"/>
      <x:c r="P23" s="13" t="str">
        <x:v>Pananakot sa kapatid tungkol sa gamit na hiniram</x:v>
      </x:c>
      <x:c r="Q23" s="13" t="str">
        <x:v>Added to balance 'threats' to 49 examples using the same Justice KP label schema.</x:v>
      </x:c>
      <x:c r="R23" s="13" t="str">
        <x:v>Synthetic row based on category coverage gap from uploaded PDF</x:v>
      </x:c>
    </x:row>
    <x:row r="24" ht="36" customHeight="1">
      <x:c r="A24" s="13" t="str">
        <x:v>SYN-THRT-014</x:v>
      </x:c>
      <x:c r="B24" s="13" t="str">
        <x:v>threats</x:v>
      </x:c>
      <x:c r="C24" s="13" t="str">
        <x:v>Synthetic</x:v>
      </x:c>
      <x:c r="D24" s="13" t="str"/>
      <x:c r="E24" s="13" t="str">
        <x:v>Criminal</x:v>
      </x:c>
      <x:c r="F24" s="13" t="str">
        <x:v>Pagbabanta sa text message matapos ang hindi pagkakasundo</x:v>
      </x:c>
      <x:c r="G24" s="13" t="str">
        <x:v>February 15, 2026</x:v>
      </x:c>
      <x:c r="H24" s="13" t="str">
        <x:v>-</x:v>
      </x:c>
      <x:c r="I24" s="13" t="str">
        <x:v>Synthetic example: no weapon or serious medical finding stated; system must still screen severity and immediate danger.</x:v>
      </x:c>
      <x:c r="J24" s="13" t="str">
        <x:v>For Screening</x:v>
      </x:c>
      <x:c r="K24" s="13" t="str">
        <x:v>KP_COVERED_AMICABLE</x:v>
      </x:c>
      <x:c r="L24" s="13" t="str">
        <x:v>Eligible for KP screening with safety check</x:v>
      </x:c>
      <x:c r="M24" s="13" t="str">
        <x:v>Screen imminent danger/protected-person issue, then mediate only if eligible</x:v>
      </x:c>
      <x:c r="N24" s="13" t="str">
        <x:v>Threat/harassment example; requires safety screening.</x:v>
      </x:c>
      <x:c r="O24" s="13" t="str"/>
      <x:c r="P24" s="13" t="str">
        <x:v>Pagbabanta sa text message matapos ang hindi pagkakasundo</x:v>
      </x:c>
      <x:c r="Q24" s="13" t="str">
        <x:v>Added to balance 'threats' to 49 examples using the same Justice KP label schema.</x:v>
      </x:c>
      <x:c r="R24" s="13" t="str">
        <x:v>Synthetic row based on category coverage gap from uploaded PDF</x:v>
      </x:c>
    </x:row>
    <x:row r="25" ht="36" customHeight="1">
      <x:c r="A25" s="13" t="str">
        <x:v>SYN-THRT-015</x:v>
      </x:c>
      <x:c r="B25" s="13" t="str">
        <x:v>threats</x:v>
      </x:c>
      <x:c r="C25" s="13" t="str">
        <x:v>Synthetic</x:v>
      </x:c>
      <x:c r="D25" s="13" t="str"/>
      <x:c r="E25" s="13" t="str">
        <x:v>Criminal</x:v>
      </x:c>
      <x:c r="F25" s="13" t="str">
        <x:v>Panggugulo at pagbabanta sa harap ng bahay</x:v>
      </x:c>
      <x:c r="G25" s="13" t="str">
        <x:v>February 18, 2026</x:v>
      </x:c>
      <x:c r="H25" s="13" t="str">
        <x:v>-</x:v>
      </x:c>
      <x:c r="I25" s="13" t="str">
        <x:v>Synthetic example: no weapon or serious medical finding stated; system must still screen severity and immediate danger.</x:v>
      </x:c>
      <x:c r="J25" s="13" t="str">
        <x:v>For Screening</x:v>
      </x:c>
      <x:c r="K25" s="13" t="str">
        <x:v>KP_COVERED_AMICABLE</x:v>
      </x:c>
      <x:c r="L25" s="13" t="str">
        <x:v>Eligible for KP screening with safety check</x:v>
      </x:c>
      <x:c r="M25" s="13" t="str">
        <x:v>Screen imminent danger/protected-person issue, then mediate only if eligible</x:v>
      </x:c>
      <x:c r="N25" s="13" t="str">
        <x:v>Threat/harassment example; requires safety screening.</x:v>
      </x:c>
      <x:c r="O25" s="13" t="str"/>
      <x:c r="P25" s="13" t="str">
        <x:v>Panggugulo at pagbabanta sa harap ng bahay</x:v>
      </x:c>
      <x:c r="Q25" s="13" t="str">
        <x:v>Added to balance 'threats' to 49 examples using the same Justice KP label schema.</x:v>
      </x:c>
      <x:c r="R25" s="13" t="str">
        <x:v>Synthetic row based on category coverage gap from uploaded PDF</x:v>
      </x:c>
    </x:row>
    <x:row r="26" ht="36" customHeight="1">
      <x:c r="A26" s="13" t="str">
        <x:v>SYN-THRT-016</x:v>
      </x:c>
      <x:c r="B26" s="13" t="str">
        <x:v>threats</x:v>
      </x:c>
      <x:c r="C26" s="13" t="str">
        <x:v>Synthetic</x:v>
      </x:c>
      <x:c r="D26" s="13" t="str"/>
      <x:c r="E26" s="13" t="str">
        <x:v>Criminal</x:v>
      </x:c>
      <x:c r="F26" s="13" t="str">
        <x:v>Pagbabanta na ipapahiya sa social media kung hindi magbabayad</x:v>
      </x:c>
      <x:c r="G26" s="13" t="str">
        <x:v>February 21, 2026</x:v>
      </x:c>
      <x:c r="H26" s="13" t="str">
        <x:v>-</x:v>
      </x:c>
      <x:c r="I26" s="13" t="str">
        <x:v>Synthetic example: no weapon or serious medical finding stated; system must still screen severity and immediate danger.</x:v>
      </x:c>
      <x:c r="J26" s="13" t="str">
        <x:v>For Screening</x:v>
      </x:c>
      <x:c r="K26" s="13" t="str">
        <x:v>KP_COVERED_AMICABLE</x:v>
      </x:c>
      <x:c r="L26" s="13" t="str">
        <x:v>Eligible for KP screening with safety check</x:v>
      </x:c>
      <x:c r="M26" s="13" t="str">
        <x:v>Screen imminent danger/protected-person issue, then mediate only if eligible</x:v>
      </x:c>
      <x:c r="N26" s="13" t="str">
        <x:v>Threat/harassment example; requires safety screening.</x:v>
      </x:c>
      <x:c r="O26" s="13" t="str"/>
      <x:c r="P26" s="13" t="str">
        <x:v>Pagbabanta na ipapahiya sa social media kung hindi magbabayad</x:v>
      </x:c>
      <x:c r="Q26" s="13" t="str">
        <x:v>Added to balance 'threats' to 49 examples using the same Justice KP label schema.</x:v>
      </x:c>
      <x:c r="R26" s="13" t="str">
        <x:v>Synthetic row based on category coverage gap from uploaded PDF</x:v>
      </x:c>
    </x:row>
    <x:row r="27" ht="36" customHeight="1">
      <x:c r="A27" s="13" t="str">
        <x:v>SYN-THRT-017</x:v>
      </x:c>
      <x:c r="B27" s="13" t="str">
        <x:v>threats</x:v>
      </x:c>
      <x:c r="C27" s="13" t="str">
        <x:v>Synthetic</x:v>
      </x:c>
      <x:c r="D27" s="13" t="str"/>
      <x:c r="E27" s="13" t="str">
        <x:v>Criminal</x:v>
      </x:c>
      <x:c r="F27" s="13" t="str">
        <x:v>Paninigaw at pag-amba ng pananakit sa kapitbahay</x:v>
      </x:c>
      <x:c r="G27" s="13" t="str">
        <x:v>February 24, 2026</x:v>
      </x:c>
      <x:c r="H27" s="13" t="str">
        <x:v>-</x:v>
      </x:c>
      <x:c r="I27" s="13" t="str">
        <x:v>Synthetic example: no weapon or serious medical finding stated; system must still screen severity and immediate danger.</x:v>
      </x:c>
      <x:c r="J27" s="13" t="str">
        <x:v>For Screening</x:v>
      </x:c>
      <x:c r="K27" s="13" t="str">
        <x:v>KP_COVERED_AMICABLE</x:v>
      </x:c>
      <x:c r="L27" s="13" t="str">
        <x:v>Eligible for KP screening with safety check</x:v>
      </x:c>
      <x:c r="M27" s="13" t="str">
        <x:v>Screen imminent danger/protected-person issue, then mediate only if eligible</x:v>
      </x:c>
      <x:c r="N27" s="13" t="str">
        <x:v>Threat/harassment example; requires safety screening.</x:v>
      </x:c>
      <x:c r="O27" s="13" t="str"/>
      <x:c r="P27" s="13" t="str">
        <x:v>Paninigaw at pag-amba ng pananakit sa kapitbahay</x:v>
      </x:c>
      <x:c r="Q27" s="13" t="str">
        <x:v>Added to balance 'threats' to 49 examples using the same Justice KP label schema.</x:v>
      </x:c>
      <x:c r="R27" s="13" t="str">
        <x:v>Synthetic row based on category coverage gap from uploaded PDF</x:v>
      </x:c>
    </x:row>
    <x:row r="28" ht="36" customHeight="1">
      <x:c r="A28" s="13" t="str">
        <x:v>SYN-THRT-018</x:v>
      </x:c>
      <x:c r="B28" s="13" t="str">
        <x:v>threats</x:v>
      </x:c>
      <x:c r="C28" s="13" t="str">
        <x:v>Synthetic</x:v>
      </x:c>
      <x:c r="D28" s="13" t="str"/>
      <x:c r="E28" s="13" t="str">
        <x:v>Criminal</x:v>
      </x:c>
      <x:c r="F28" s="13" t="str">
        <x:v>Pagbabanta tungkol sa away sa parking space</x:v>
      </x:c>
      <x:c r="G28" s="13" t="str">
        <x:v>February 27, 2026</x:v>
      </x:c>
      <x:c r="H28" s="13" t="str">
        <x:v>-</x:v>
      </x:c>
      <x:c r="I28" s="13" t="str">
        <x:v>Synthetic example: no weapon or serious medical finding stated; system must still screen severity and immediate danger.</x:v>
      </x:c>
      <x:c r="J28" s="13" t="str">
        <x:v>For Screening</x:v>
      </x:c>
      <x:c r="K28" s="13" t="str">
        <x:v>KP_COVERED_AMICABLE</x:v>
      </x:c>
      <x:c r="L28" s="13" t="str">
        <x:v>Eligible for KP screening with safety check</x:v>
      </x:c>
      <x:c r="M28" s="13" t="str">
        <x:v>Screen imminent danger/protected-person issue, then mediate only if eligible</x:v>
      </x:c>
      <x:c r="N28" s="13" t="str">
        <x:v>Threat/harassment example; requires safety screening.</x:v>
      </x:c>
      <x:c r="O28" s="13" t="str"/>
      <x:c r="P28" s="13" t="str">
        <x:v>Pagbabanta tungkol sa away sa parking space</x:v>
      </x:c>
      <x:c r="Q28" s="13" t="str">
        <x:v>Added to balance 'threats' to 49 examples using the same Justice KP label schema.</x:v>
      </x:c>
      <x:c r="R28" s="13" t="str">
        <x:v>Synthetic row based on category coverage gap from uploaded PDF</x:v>
      </x:c>
    </x:row>
    <x:row r="29" ht="36" customHeight="1">
      <x:c r="A29" s="13" t="str">
        <x:v>SYN-THRT-019</x:v>
      </x:c>
      <x:c r="B29" s="13" t="str">
        <x:v>threats</x:v>
      </x:c>
      <x:c r="C29" s="13" t="str">
        <x:v>Synthetic</x:v>
      </x:c>
      <x:c r="D29" s="13" t="str"/>
      <x:c r="E29" s="13" t="str">
        <x:v>Criminal</x:v>
      </x:c>
      <x:c r="F29" s="13" t="str">
        <x:v>Pagbabanta habang lasing sa labas ng bahay</x:v>
      </x:c>
      <x:c r="G29" s="13" t="str">
        <x:v>March 2, 2026</x:v>
      </x:c>
      <x:c r="H29" s="13" t="str">
        <x:v>-</x:v>
      </x:c>
      <x:c r="I29" s="13" t="str">
        <x:v>Synthetic example: no weapon or serious medical finding stated; system must still screen severity and immediate danger.</x:v>
      </x:c>
      <x:c r="J29" s="13" t="str">
        <x:v>For Screening</x:v>
      </x:c>
      <x:c r="K29" s="13" t="str">
        <x:v>KP_COVERED_AMICABLE</x:v>
      </x:c>
      <x:c r="L29" s="13" t="str">
        <x:v>Eligible for KP screening with safety check</x:v>
      </x:c>
      <x:c r="M29" s="13" t="str">
        <x:v>Screen imminent danger/protected-person issue, then mediate only if eligible</x:v>
      </x:c>
      <x:c r="N29" s="13" t="str">
        <x:v>Threat/harassment example; requires safety screening.</x:v>
      </x:c>
      <x:c r="O29" s="13" t="str"/>
      <x:c r="P29" s="13" t="str">
        <x:v>Pagbabanta habang lasing sa labas ng bahay</x:v>
      </x:c>
      <x:c r="Q29" s="13" t="str">
        <x:v>Added to balance 'threats' to 49 examples using the same Justice KP label schema.</x:v>
      </x:c>
      <x:c r="R29" s="13" t="str">
        <x:v>Synthetic row based on category coverage gap from uploaded PDF</x:v>
      </x:c>
    </x:row>
    <x:row r="30" ht="36" customHeight="1">
      <x:c r="A30" s="13" t="str">
        <x:v>SYN-THRT-020</x:v>
      </x:c>
      <x:c r="B30" s="13" t="str">
        <x:v>threats</x:v>
      </x:c>
      <x:c r="C30" s="13" t="str">
        <x:v>Synthetic</x:v>
      </x:c>
      <x:c r="D30" s="13" t="str"/>
      <x:c r="E30" s="13" t="str">
        <x:v>Criminal</x:v>
      </x:c>
      <x:c r="F30" s="13" t="str">
        <x:v>Pambubully at pananakot sa kapitbahay</x:v>
      </x:c>
      <x:c r="G30" s="13" t="str">
        <x:v>March 5, 2026</x:v>
      </x:c>
      <x:c r="H30" s="13" t="str">
        <x:v>-</x:v>
      </x:c>
      <x:c r="I30" s="13" t="str">
        <x:v>Synthetic example: no weapon or serious medical finding stated; system must still screen severity and immediate danger.</x:v>
      </x:c>
      <x:c r="J30" s="13" t="str">
        <x:v>For Screening</x:v>
      </x:c>
      <x:c r="K30" s="13" t="str">
        <x:v>KP_COVERED_AMICABLE</x:v>
      </x:c>
      <x:c r="L30" s="13" t="str">
        <x:v>Eligible for KP screening with safety check</x:v>
      </x:c>
      <x:c r="M30" s="13" t="str">
        <x:v>Screen imminent danger/protected-person issue, then mediate only if eligible</x:v>
      </x:c>
      <x:c r="N30" s="13" t="str">
        <x:v>Threat/harassment example; requires safety screening.</x:v>
      </x:c>
      <x:c r="O30" s="13" t="str"/>
      <x:c r="P30" s="13" t="str">
        <x:v>Pambubully at pananakot sa kapitbahay</x:v>
      </x:c>
      <x:c r="Q30" s="13" t="str">
        <x:v>Added to balance 'threats' to 49 examples using the same Justice KP label schema.</x:v>
      </x:c>
      <x:c r="R30" s="13" t="str">
        <x:v>Synthetic row based on category coverage gap from uploaded PDF</x:v>
      </x:c>
    </x:row>
    <x:row r="31" ht="36" customHeight="1">
      <x:c r="A31" s="13" t="str">
        <x:v>SYN-THRT-021</x:v>
      </x:c>
      <x:c r="B31" s="13" t="str">
        <x:v>threats</x:v>
      </x:c>
      <x:c r="C31" s="13" t="str">
        <x:v>Synthetic</x:v>
      </x:c>
      <x:c r="D31" s="13" t="str"/>
      <x:c r="E31" s="13" t="str">
        <x:v>Criminal</x:v>
      </x:c>
      <x:c r="F31" s="13" t="str">
        <x:v>Pagbabanta na sisirain ang gate ng kapitbahay</x:v>
      </x:c>
      <x:c r="G31" s="13" t="str">
        <x:v>March 8, 2026</x:v>
      </x:c>
      <x:c r="H31" s="13" t="str">
        <x:v>-</x:v>
      </x:c>
      <x:c r="I31" s="13" t="str">
        <x:v>Synthetic example: no weapon or serious medical finding stated; system must still screen severity and immediate danger.</x:v>
      </x:c>
      <x:c r="J31" s="13" t="str">
        <x:v>For Screening</x:v>
      </x:c>
      <x:c r="K31" s="13" t="str">
        <x:v>KP_COVERED_AMICABLE</x:v>
      </x:c>
      <x:c r="L31" s="13" t="str">
        <x:v>Eligible for KP screening with safety check</x:v>
      </x:c>
      <x:c r="M31" s="13" t="str">
        <x:v>Screen imminent danger/protected-person issue, then mediate only if eligible</x:v>
      </x:c>
      <x:c r="N31" s="13" t="str">
        <x:v>Threat/harassment example; requires safety screening.</x:v>
      </x:c>
      <x:c r="O31" s="13" t="str"/>
      <x:c r="P31" s="13" t="str">
        <x:v>Pagbabanta na sisirain ang gate ng kapitbahay</x:v>
      </x:c>
      <x:c r="Q31" s="13" t="str">
        <x:v>Added to balance 'threats' to 49 examples using the same Justice KP label schema.</x:v>
      </x:c>
      <x:c r="R31" s="13" t="str">
        <x:v>Synthetic row based on category coverage gap from uploaded PDF</x:v>
      </x:c>
    </x:row>
    <x:row r="32" ht="36" customHeight="1">
      <x:c r="A32" s="13" t="str">
        <x:v>SYN-THRT-022</x:v>
      </x:c>
      <x:c r="B32" s="13" t="str">
        <x:v>threats</x:v>
      </x:c>
      <x:c r="C32" s="13" t="str">
        <x:v>Synthetic</x:v>
      </x:c>
      <x:c r="D32" s="13" t="str"/>
      <x:c r="E32" s="13" t="str">
        <x:v>Criminal</x:v>
      </x:c>
      <x:c r="F32" s="13" t="str">
        <x:v>Pag-amba na hahampasin habang nagtatalo sa daanan</x:v>
      </x:c>
      <x:c r="G32" s="13" t="str">
        <x:v>March 11, 2026</x:v>
      </x:c>
      <x:c r="H32" s="13" t="str">
        <x:v>-</x:v>
      </x:c>
      <x:c r="I32" s="13" t="str">
        <x:v>Synthetic example: no weapon or serious medical finding stated; system must still screen severity and immediate danger.</x:v>
      </x:c>
      <x:c r="J32" s="13" t="str">
        <x:v>For Screening</x:v>
      </x:c>
      <x:c r="K32" s="13" t="str">
        <x:v>KP_COVERED_AMICABLE</x:v>
      </x:c>
      <x:c r="L32" s="13" t="str">
        <x:v>Eligible for KP screening with safety check</x:v>
      </x:c>
      <x:c r="M32" s="13" t="str">
        <x:v>Screen imminent danger/protected-person issue, then mediate only if eligible</x:v>
      </x:c>
      <x:c r="N32" s="13" t="str">
        <x:v>Threat/harassment example; requires safety screening.</x:v>
      </x:c>
      <x:c r="O32" s="13" t="str"/>
      <x:c r="P32" s="13" t="str">
        <x:v>Pag-amba na hahampasin habang nagtatalo sa daanan</x:v>
      </x:c>
      <x:c r="Q32" s="13" t="str">
        <x:v>Added to balance 'threats' to 49 examples using the same Justice KP label schema.</x:v>
      </x:c>
      <x:c r="R32" s="13" t="str">
        <x:v>Synthetic row based on category coverage gap from uploaded PDF</x:v>
      </x:c>
    </x:row>
    <x:row r="33" ht="36" customHeight="1">
      <x:c r="A33" s="13" t="str">
        <x:v>SYN-THRT-023</x:v>
      </x:c>
      <x:c r="B33" s="13" t="str">
        <x:v>threats</x:v>
      </x:c>
      <x:c r="C33" s="13" t="str">
        <x:v>Synthetic</x:v>
      </x:c>
      <x:c r="D33" s="13" t="str"/>
      <x:c r="E33" s="13" t="str">
        <x:v>Criminal</x:v>
      </x:c>
      <x:c r="F33" s="13" t="str">
        <x:v>Pananakot sa kapatid tungkol sa gamit na hiniram</x:v>
      </x:c>
      <x:c r="G33" s="13" t="str">
        <x:v>March 14, 2026</x:v>
      </x:c>
      <x:c r="H33" s="13" t="str">
        <x:v>-</x:v>
      </x:c>
      <x:c r="I33" s="13" t="str">
        <x:v>Synthetic example: no weapon or serious medical finding stated; system must still screen severity and immediate danger.</x:v>
      </x:c>
      <x:c r="J33" s="13" t="str">
        <x:v>For Screening</x:v>
      </x:c>
      <x:c r="K33" s="13" t="str">
        <x:v>KP_COVERED_AMICABLE</x:v>
      </x:c>
      <x:c r="L33" s="13" t="str">
        <x:v>Eligible for KP screening with safety check</x:v>
      </x:c>
      <x:c r="M33" s="13" t="str">
        <x:v>Screen imminent danger/protected-person issue, then mediate only if eligible</x:v>
      </x:c>
      <x:c r="N33" s="13" t="str">
        <x:v>Threat/harassment example; requires safety screening.</x:v>
      </x:c>
      <x:c r="O33" s="13" t="str"/>
      <x:c r="P33" s="13" t="str">
        <x:v>Pananakot sa kapatid tungkol sa gamit na hiniram</x:v>
      </x:c>
      <x:c r="Q33" s="13" t="str">
        <x:v>Added to balance 'threats' to 49 examples using the same Justice KP label schema.</x:v>
      </x:c>
      <x:c r="R33" s="13" t="str">
        <x:v>Synthetic row based on category coverage gap from uploaded PDF</x:v>
      </x:c>
    </x:row>
    <x:row r="34" ht="36" customHeight="1">
      <x:c r="A34" s="13" t="str">
        <x:v>SYN-THRT-024</x:v>
      </x:c>
      <x:c r="B34" s="13" t="str">
        <x:v>threats</x:v>
      </x:c>
      <x:c r="C34" s="13" t="str">
        <x:v>Synthetic</x:v>
      </x:c>
      <x:c r="D34" s="13" t="str"/>
      <x:c r="E34" s="13" t="str">
        <x:v>Criminal</x:v>
      </x:c>
      <x:c r="F34" s="13" t="str">
        <x:v>Pagbabanta sa text message matapos ang hindi pagkakasundo</x:v>
      </x:c>
      <x:c r="G34" s="13" t="str">
        <x:v>March 17, 2026</x:v>
      </x:c>
      <x:c r="H34" s="13" t="str">
        <x:v>-</x:v>
      </x:c>
      <x:c r="I34" s="13" t="str">
        <x:v>Synthetic example: no weapon or serious medical finding stated; system must still screen severity and immediate danger.</x:v>
      </x:c>
      <x:c r="J34" s="13" t="str">
        <x:v>For Screening</x:v>
      </x:c>
      <x:c r="K34" s="13" t="str">
        <x:v>KP_COVERED_AMICABLE</x:v>
      </x:c>
      <x:c r="L34" s="13" t="str">
        <x:v>Eligible for KP screening with safety check</x:v>
      </x:c>
      <x:c r="M34" s="13" t="str">
        <x:v>Screen imminent danger/protected-person issue, then mediate only if eligible</x:v>
      </x:c>
      <x:c r="N34" s="13" t="str">
        <x:v>Threat/harassment example; requires safety screening.</x:v>
      </x:c>
      <x:c r="O34" s="13" t="str"/>
      <x:c r="P34" s="13" t="str">
        <x:v>Pagbabanta sa text message matapos ang hindi pagkakasundo</x:v>
      </x:c>
      <x:c r="Q34" s="13" t="str">
        <x:v>Added to balance 'threats' to 49 examples using the same Justice KP label schema.</x:v>
      </x:c>
      <x:c r="R34" s="13" t="str">
        <x:v>Synthetic row based on category coverage gap from uploaded PDF</x:v>
      </x:c>
    </x:row>
    <x:row r="35" ht="36" customHeight="1">
      <x:c r="A35" s="13" t="str">
        <x:v>SYN-THRT-025</x:v>
      </x:c>
      <x:c r="B35" s="13" t="str">
        <x:v>threats</x:v>
      </x:c>
      <x:c r="C35" s="13" t="str">
        <x:v>Synthetic</x:v>
      </x:c>
      <x:c r="D35" s="13" t="str"/>
      <x:c r="E35" s="13" t="str">
        <x:v>Criminal</x:v>
      </x:c>
      <x:c r="F35" s="13" t="str">
        <x:v>Panggugulo at pagbabanta sa harap ng bahay</x:v>
      </x:c>
      <x:c r="G35" s="13" t="str">
        <x:v>March 20, 2026</x:v>
      </x:c>
      <x:c r="H35" s="13" t="str">
        <x:v>-</x:v>
      </x:c>
      <x:c r="I35" s="13" t="str">
        <x:v>Synthetic example: no weapon or serious medical finding stated; system must still screen severity and immediate danger.</x:v>
      </x:c>
      <x:c r="J35" s="13" t="str">
        <x:v>For Screening</x:v>
      </x:c>
      <x:c r="K35" s="13" t="str">
        <x:v>KP_COVERED_AMICABLE</x:v>
      </x:c>
      <x:c r="L35" s="13" t="str">
        <x:v>Eligible for KP screening with safety check</x:v>
      </x:c>
      <x:c r="M35" s="13" t="str">
        <x:v>Screen imminent danger/protected-person issue, then mediate only if eligible</x:v>
      </x:c>
      <x:c r="N35" s="13" t="str">
        <x:v>Threat/harassment example; requires safety screening.</x:v>
      </x:c>
      <x:c r="O35" s="13" t="str"/>
      <x:c r="P35" s="13" t="str">
        <x:v>Panggugulo at pagbabanta sa harap ng bahay</x:v>
      </x:c>
      <x:c r="Q35" s="13" t="str">
        <x:v>Added to balance 'threats' to 49 examples using the same Justice KP label schema.</x:v>
      </x:c>
      <x:c r="R35" s="13" t="str">
        <x:v>Synthetic row based on category coverage gap from uploaded PDF</x:v>
      </x:c>
    </x:row>
    <x:row r="36" ht="36" customHeight="1">
      <x:c r="A36" s="13" t="str">
        <x:v>SYN-THRT-026</x:v>
      </x:c>
      <x:c r="B36" s="13" t="str">
        <x:v>threats</x:v>
      </x:c>
      <x:c r="C36" s="13" t="str">
        <x:v>Synthetic</x:v>
      </x:c>
      <x:c r="D36" s="13" t="str"/>
      <x:c r="E36" s="13" t="str">
        <x:v>Criminal</x:v>
      </x:c>
      <x:c r="F36" s="13" t="str">
        <x:v>Pagbabanta na ipapahiya sa social media kung hindi magbabayad</x:v>
      </x:c>
      <x:c r="G36" s="13" t="str">
        <x:v>March 23, 2026</x:v>
      </x:c>
      <x:c r="H36" s="13" t="str">
        <x:v>-</x:v>
      </x:c>
      <x:c r="I36" s="13" t="str">
        <x:v>Synthetic example: no weapon or serious medical finding stated; system must still screen severity and immediate danger.</x:v>
      </x:c>
      <x:c r="J36" s="13" t="str">
        <x:v>For Screening</x:v>
      </x:c>
      <x:c r="K36" s="13" t="str">
        <x:v>KP_COVERED_AMICABLE</x:v>
      </x:c>
      <x:c r="L36" s="13" t="str">
        <x:v>Eligible for KP screening with safety check</x:v>
      </x:c>
      <x:c r="M36" s="13" t="str">
        <x:v>Screen imminent danger/protected-person issue, then mediate only if eligible</x:v>
      </x:c>
      <x:c r="N36" s="13" t="str">
        <x:v>Threat/harassment example; requires safety screening.</x:v>
      </x:c>
      <x:c r="O36" s="13" t="str"/>
      <x:c r="P36" s="13" t="str">
        <x:v>Pagbabanta na ipapahiya sa social media kung hindi magbabayad</x:v>
      </x:c>
      <x:c r="Q36" s="13" t="str">
        <x:v>Added to balance 'threats' to 49 examples using the same Justice KP label schema.</x:v>
      </x:c>
      <x:c r="R36" s="13" t="str">
        <x:v>Synthetic row based on category coverage gap from uploaded PDF</x:v>
      </x:c>
    </x:row>
    <x:row r="37" ht="36" customHeight="1">
      <x:c r="A37" s="13" t="str">
        <x:v>SYN-THRT-027</x:v>
      </x:c>
      <x:c r="B37" s="13" t="str">
        <x:v>threats</x:v>
      </x:c>
      <x:c r="C37" s="13" t="str">
        <x:v>Synthetic</x:v>
      </x:c>
      <x:c r="D37" s="13" t="str"/>
      <x:c r="E37" s="13" t="str">
        <x:v>Criminal</x:v>
      </x:c>
      <x:c r="F37" s="13" t="str">
        <x:v>Paninigaw at pag-amba ng pananakit sa kapitbahay</x:v>
      </x:c>
      <x:c r="G37" s="13" t="str">
        <x:v>March 26, 2026</x:v>
      </x:c>
      <x:c r="H37" s="13" t="str">
        <x:v>-</x:v>
      </x:c>
      <x:c r="I37" s="13" t="str">
        <x:v>Synthetic example: no weapon or serious medical finding stated; system must still screen severity and immediate danger.</x:v>
      </x:c>
      <x:c r="J37" s="13" t="str">
        <x:v>For Screening</x:v>
      </x:c>
      <x:c r="K37" s="13" t="str">
        <x:v>KP_COVERED_AMICABLE</x:v>
      </x:c>
      <x:c r="L37" s="13" t="str">
        <x:v>Eligible for KP screening with safety check</x:v>
      </x:c>
      <x:c r="M37" s="13" t="str">
        <x:v>Screen imminent danger/protected-person issue, then mediate only if eligible</x:v>
      </x:c>
      <x:c r="N37" s="13" t="str">
        <x:v>Threat/harassment example; requires safety screening.</x:v>
      </x:c>
      <x:c r="O37" s="13" t="str"/>
      <x:c r="P37" s="13" t="str">
        <x:v>Paninigaw at pag-amba ng pananakit sa kapitbahay</x:v>
      </x:c>
      <x:c r="Q37" s="13" t="str">
        <x:v>Added to balance 'threats' to 49 examples using the same Justice KP label schema.</x:v>
      </x:c>
      <x:c r="R37" s="13" t="str">
        <x:v>Synthetic row based on category coverage gap from uploaded PDF</x:v>
      </x:c>
    </x:row>
    <x:row r="38" ht="36" customHeight="1">
      <x:c r="A38" s="13" t="str">
        <x:v>SYN-THRT-028</x:v>
      </x:c>
      <x:c r="B38" s="13" t="str">
        <x:v>threats</x:v>
      </x:c>
      <x:c r="C38" s="13" t="str">
        <x:v>Synthetic</x:v>
      </x:c>
      <x:c r="D38" s="13" t="str"/>
      <x:c r="E38" s="13" t="str">
        <x:v>Criminal</x:v>
      </x:c>
      <x:c r="F38" s="13" t="str">
        <x:v>Pagbabanta tungkol sa away sa parking space</x:v>
      </x:c>
      <x:c r="G38" s="13" t="str">
        <x:v>March 29, 2026</x:v>
      </x:c>
      <x:c r="H38" s="13" t="str">
        <x:v>-</x:v>
      </x:c>
      <x:c r="I38" s="13" t="str">
        <x:v>Synthetic example: no weapon or serious medical finding stated; system must still screen severity and immediate danger.</x:v>
      </x:c>
      <x:c r="J38" s="13" t="str">
        <x:v>For Screening</x:v>
      </x:c>
      <x:c r="K38" s="13" t="str">
        <x:v>KP_COVERED_AMICABLE</x:v>
      </x:c>
      <x:c r="L38" s="13" t="str">
        <x:v>Eligible for KP screening with safety check</x:v>
      </x:c>
      <x:c r="M38" s="13" t="str">
        <x:v>Screen imminent danger/protected-person issue, then mediate only if eligible</x:v>
      </x:c>
      <x:c r="N38" s="13" t="str">
        <x:v>Threat/harassment example; requires safety screening.</x:v>
      </x:c>
      <x:c r="O38" s="13" t="str"/>
      <x:c r="P38" s="13" t="str">
        <x:v>Pagbabanta tungkol sa away sa parking space</x:v>
      </x:c>
      <x:c r="Q38" s="13" t="str">
        <x:v>Added to balance 'threats' to 49 examples using the same Justice KP label schema.</x:v>
      </x:c>
      <x:c r="R38" s="13" t="str">
        <x:v>Synthetic row based on category coverage gap from uploaded PDF</x:v>
      </x:c>
    </x:row>
    <x:row r="39" ht="36" customHeight="1">
      <x:c r="A39" s="13" t="str">
        <x:v>SYN-THRT-029</x:v>
      </x:c>
      <x:c r="B39" s="13" t="str">
        <x:v>threats</x:v>
      </x:c>
      <x:c r="C39" s="13" t="str">
        <x:v>Synthetic</x:v>
      </x:c>
      <x:c r="D39" s="13" t="str"/>
      <x:c r="E39" s="13" t="str">
        <x:v>Criminal</x:v>
      </x:c>
      <x:c r="F39" s="13" t="str">
        <x:v>Pagbabanta habang lasing sa labas ng bahay</x:v>
      </x:c>
      <x:c r="G39" s="13" t="str">
        <x:v>April 1, 2026</x:v>
      </x:c>
      <x:c r="H39" s="13" t="str">
        <x:v>-</x:v>
      </x:c>
      <x:c r="I39" s="13" t="str">
        <x:v>Synthetic example: no weapon or serious medical finding stated; system must still screen severity and immediate danger.</x:v>
      </x:c>
      <x:c r="J39" s="13" t="str">
        <x:v>For Screening</x:v>
      </x:c>
      <x:c r="K39" s="13" t="str">
        <x:v>KP_COVERED_AMICABLE</x:v>
      </x:c>
      <x:c r="L39" s="13" t="str">
        <x:v>Eligible for KP screening with safety check</x:v>
      </x:c>
      <x:c r="M39" s="13" t="str">
        <x:v>Screen imminent danger/protected-person issue, then mediate only if eligible</x:v>
      </x:c>
      <x:c r="N39" s="13" t="str">
        <x:v>Threat/harassment example; requires safety screening.</x:v>
      </x:c>
      <x:c r="O39" s="13" t="str"/>
      <x:c r="P39" s="13" t="str">
        <x:v>Pagbabanta habang lasing sa labas ng bahay</x:v>
      </x:c>
      <x:c r="Q39" s="13" t="str">
        <x:v>Added to balance 'threats' to 49 examples using the same Justice KP label schema.</x:v>
      </x:c>
      <x:c r="R39" s="13" t="str">
        <x:v>Synthetic row based on category coverage gap from uploaded PDF</x:v>
      </x:c>
    </x:row>
    <x:row r="40" ht="36" customHeight="1">
      <x:c r="A40" s="13" t="str">
        <x:v>SYN-THRT-030</x:v>
      </x:c>
      <x:c r="B40" s="13" t="str">
        <x:v>threats</x:v>
      </x:c>
      <x:c r="C40" s="13" t="str">
        <x:v>Synthetic</x:v>
      </x:c>
      <x:c r="D40" s="13" t="str"/>
      <x:c r="E40" s="13" t="str">
        <x:v>Criminal</x:v>
      </x:c>
      <x:c r="F40" s="13" t="str">
        <x:v>Pambubully at pananakot sa kapitbahay</x:v>
      </x:c>
      <x:c r="G40" s="13" t="str">
        <x:v>April 4, 2026</x:v>
      </x:c>
      <x:c r="H40" s="13" t="str">
        <x:v>-</x:v>
      </x:c>
      <x:c r="I40" s="13" t="str">
        <x:v>Synthetic example: no weapon or serious medical finding stated; system must still screen severity and immediate danger.</x:v>
      </x:c>
      <x:c r="J40" s="13" t="str">
        <x:v>For Screening</x:v>
      </x:c>
      <x:c r="K40" s="13" t="str">
        <x:v>KP_COVERED_AMICABLE</x:v>
      </x:c>
      <x:c r="L40" s="13" t="str">
        <x:v>Eligible for KP screening with safety check</x:v>
      </x:c>
      <x:c r="M40" s="13" t="str">
        <x:v>Screen imminent danger/protected-person issue, then mediate only if eligible</x:v>
      </x:c>
      <x:c r="N40" s="13" t="str">
        <x:v>Threat/harassment example; requires safety screening.</x:v>
      </x:c>
      <x:c r="O40" s="13" t="str"/>
      <x:c r="P40" s="13" t="str">
        <x:v>Pambubully at pananakot sa kapitbahay</x:v>
      </x:c>
      <x:c r="Q40" s="13" t="str">
        <x:v>Added to balance 'threats' to 49 examples using the same Justice KP label schema.</x:v>
      </x:c>
      <x:c r="R40" s="13" t="str">
        <x:v>Synthetic row based on category coverage gap from uploaded PDF</x:v>
      </x:c>
    </x:row>
    <x:row r="41" ht="36" customHeight="1">
      <x:c r="A41" s="13" t="str">
        <x:v>SYN-THRT-031</x:v>
      </x:c>
      <x:c r="B41" s="13" t="str">
        <x:v>threats</x:v>
      </x:c>
      <x:c r="C41" s="13" t="str">
        <x:v>Synthetic</x:v>
      </x:c>
      <x:c r="D41" s="13" t="str"/>
      <x:c r="E41" s="13" t="str">
        <x:v>Criminal</x:v>
      </x:c>
      <x:c r="F41" s="13" t="str">
        <x:v>Pagbabanta na sisirain ang gate ng kapitbahay</x:v>
      </x:c>
      <x:c r="G41" s="13" t="str">
        <x:v>April 7, 2026</x:v>
      </x:c>
      <x:c r="H41" s="13" t="str">
        <x:v>-</x:v>
      </x:c>
      <x:c r="I41" s="13" t="str">
        <x:v>Synthetic example: no weapon or serious medical finding stated; system must still screen severity and immediate danger.</x:v>
      </x:c>
      <x:c r="J41" s="13" t="str">
        <x:v>For Screening</x:v>
      </x:c>
      <x:c r="K41" s="13" t="str">
        <x:v>KP_COVERED_AMICABLE</x:v>
      </x:c>
      <x:c r="L41" s="13" t="str">
        <x:v>Eligible for KP screening with safety check</x:v>
      </x:c>
      <x:c r="M41" s="13" t="str">
        <x:v>Screen imminent danger/protected-person issue, then mediate only if eligible</x:v>
      </x:c>
      <x:c r="N41" s="13" t="str">
        <x:v>Threat/harassment example; requires safety screening.</x:v>
      </x:c>
      <x:c r="O41" s="13" t="str"/>
      <x:c r="P41" s="13" t="str">
        <x:v>Pagbabanta na sisirain ang gate ng kapitbahay</x:v>
      </x:c>
      <x:c r="Q41" s="13" t="str">
        <x:v>Added to balance 'threats' to 49 examples using the same Justice KP label schema.</x:v>
      </x:c>
      <x:c r="R41" s="13" t="str">
        <x:v>Synthetic row based on category coverage gap from uploaded PDF</x:v>
      </x:c>
    </x:row>
    <x:row r="42" ht="36" customHeight="1">
      <x:c r="A42" s="13" t="str">
        <x:v>SYN-THRT-032</x:v>
      </x:c>
      <x:c r="B42" s="13" t="str">
        <x:v>threats</x:v>
      </x:c>
      <x:c r="C42" s="13" t="str">
        <x:v>Synthetic</x:v>
      </x:c>
      <x:c r="D42" s="13" t="str"/>
      <x:c r="E42" s="13" t="str">
        <x:v>Criminal</x:v>
      </x:c>
      <x:c r="F42" s="13" t="str">
        <x:v>Pag-amba na hahampasin habang nagtatalo sa daanan</x:v>
      </x:c>
      <x:c r="G42" s="13" t="str">
        <x:v>April 10, 2026</x:v>
      </x:c>
      <x:c r="H42" s="13" t="str">
        <x:v>-</x:v>
      </x:c>
      <x:c r="I42" s="13" t="str">
        <x:v>Synthetic example: no weapon or serious medical finding stated; system must still screen severity and immediate danger.</x:v>
      </x:c>
      <x:c r="J42" s="13" t="str">
        <x:v>For Screening</x:v>
      </x:c>
      <x:c r="K42" s="13" t="str">
        <x:v>KP_COVERED_AMICABLE</x:v>
      </x:c>
      <x:c r="L42" s="13" t="str">
        <x:v>Eligible for KP screening with safety check</x:v>
      </x:c>
      <x:c r="M42" s="13" t="str">
        <x:v>Screen imminent danger/protected-person issue, then mediate only if eligible</x:v>
      </x:c>
      <x:c r="N42" s="13" t="str">
        <x:v>Threat/harassment example; requires safety screening.</x:v>
      </x:c>
      <x:c r="O42" s="13" t="str"/>
      <x:c r="P42" s="13" t="str">
        <x:v>Pag-amba na hahampasin habang nagtatalo sa daanan</x:v>
      </x:c>
      <x:c r="Q42" s="13" t="str">
        <x:v>Added to balance 'threats' to 49 examples using the same Justice KP label schema.</x:v>
      </x:c>
      <x:c r="R42" s="13" t="str">
        <x:v>Synthetic row based on category coverage gap from uploaded PDF</x:v>
      </x:c>
    </x:row>
    <x:row r="43" ht="36" customHeight="1">
      <x:c r="A43" s="13" t="str">
        <x:v>SYN-THRT-033</x:v>
      </x:c>
      <x:c r="B43" s="13" t="str">
        <x:v>threats</x:v>
      </x:c>
      <x:c r="C43" s="13" t="str">
        <x:v>Synthetic</x:v>
      </x:c>
      <x:c r="D43" s="13" t="str"/>
      <x:c r="E43" s="13" t="str">
        <x:v>Criminal</x:v>
      </x:c>
      <x:c r="F43" s="13" t="str">
        <x:v>Pananakot sa kapatid tungkol sa gamit na hiniram</x:v>
      </x:c>
      <x:c r="G43" s="13" t="str">
        <x:v>April 13, 2026</x:v>
      </x:c>
      <x:c r="H43" s="13" t="str">
        <x:v>-</x:v>
      </x:c>
      <x:c r="I43" s="13" t="str">
        <x:v>Synthetic example: no weapon or serious medical finding stated; system must still screen severity and immediate danger.</x:v>
      </x:c>
      <x:c r="J43" s="13" t="str">
        <x:v>For Screening</x:v>
      </x:c>
      <x:c r="K43" s="13" t="str">
        <x:v>KP_COVERED_AMICABLE</x:v>
      </x:c>
      <x:c r="L43" s="13" t="str">
        <x:v>Eligible for KP screening with safety check</x:v>
      </x:c>
      <x:c r="M43" s="13" t="str">
        <x:v>Screen imminent danger/protected-person issue, then mediate only if eligible</x:v>
      </x:c>
      <x:c r="N43" s="13" t="str">
        <x:v>Threat/harassment example; requires safety screening.</x:v>
      </x:c>
      <x:c r="O43" s="13" t="str"/>
      <x:c r="P43" s="13" t="str">
        <x:v>Pananakot sa kapatid tungkol sa gamit na hiniram</x:v>
      </x:c>
      <x:c r="Q43" s="13" t="str">
        <x:v>Added to balance 'threats' to 49 examples using the same Justice KP label schema.</x:v>
      </x:c>
      <x:c r="R43" s="13" t="str">
        <x:v>Synthetic row based on category coverage gap from uploaded PDF</x:v>
      </x:c>
    </x:row>
    <x:row r="44" ht="36" customHeight="1">
      <x:c r="A44" s="13" t="str">
        <x:v>SYN-THRT-034</x:v>
      </x:c>
      <x:c r="B44" s="13" t="str">
        <x:v>threats</x:v>
      </x:c>
      <x:c r="C44" s="13" t="str">
        <x:v>Synthetic</x:v>
      </x:c>
      <x:c r="D44" s="13" t="str"/>
      <x:c r="E44" s="13" t="str">
        <x:v>Criminal</x:v>
      </x:c>
      <x:c r="F44" s="13" t="str">
        <x:v>Pagbabanta sa text message matapos ang hindi pagkakasundo</x:v>
      </x:c>
      <x:c r="G44" s="13" t="str">
        <x:v>April 16, 2026</x:v>
      </x:c>
      <x:c r="H44" s="13" t="str">
        <x:v>-</x:v>
      </x:c>
      <x:c r="I44" s="13" t="str">
        <x:v>Synthetic example: no weapon or serious medical finding stated; system must still screen severity and immediate danger.</x:v>
      </x:c>
      <x:c r="J44" s="13" t="str">
        <x:v>For Screening</x:v>
      </x:c>
      <x:c r="K44" s="13" t="str">
        <x:v>KP_COVERED_AMICABLE</x:v>
      </x:c>
      <x:c r="L44" s="13" t="str">
        <x:v>Eligible for KP screening with safety check</x:v>
      </x:c>
      <x:c r="M44" s="13" t="str">
        <x:v>Screen imminent danger/protected-person issue, then mediate only if eligible</x:v>
      </x:c>
      <x:c r="N44" s="13" t="str">
        <x:v>Threat/harassment example; requires safety screening.</x:v>
      </x:c>
      <x:c r="O44" s="13" t="str"/>
      <x:c r="P44" s="13" t="str">
        <x:v>Pagbabanta sa text message matapos ang hindi pagkakasundo</x:v>
      </x:c>
      <x:c r="Q44" s="13" t="str">
        <x:v>Added to balance 'threats' to 49 examples using the same Justice KP label schema.</x:v>
      </x:c>
      <x:c r="R44" s="13" t="str">
        <x:v>Synthetic row based on category coverage gap from uploaded PDF</x:v>
      </x:c>
    </x:row>
    <x:row r="45" ht="36" customHeight="1">
      <x:c r="A45" s="13" t="str">
        <x:v>SYN-THRT-035</x:v>
      </x:c>
      <x:c r="B45" s="13" t="str">
        <x:v>threats</x:v>
      </x:c>
      <x:c r="C45" s="13" t="str">
        <x:v>Synthetic</x:v>
      </x:c>
      <x:c r="D45" s="13" t="str"/>
      <x:c r="E45" s="13" t="str">
        <x:v>Criminal</x:v>
      </x:c>
      <x:c r="F45" s="13" t="str">
        <x:v>Panggugulo at pagbabanta sa harap ng bahay</x:v>
      </x:c>
      <x:c r="G45" s="13" t="str">
        <x:v>April 19, 2026</x:v>
      </x:c>
      <x:c r="H45" s="13" t="str">
        <x:v>-</x:v>
      </x:c>
      <x:c r="I45" s="13" t="str">
        <x:v>Synthetic example: no weapon or serious medical finding stated; system must still screen severity and immediate danger.</x:v>
      </x:c>
      <x:c r="J45" s="13" t="str">
        <x:v>For Screening</x:v>
      </x:c>
      <x:c r="K45" s="13" t="str">
        <x:v>KP_COVERED_AMICABLE</x:v>
      </x:c>
      <x:c r="L45" s="13" t="str">
        <x:v>Eligible for KP screening with safety check</x:v>
      </x:c>
      <x:c r="M45" s="13" t="str">
        <x:v>Screen imminent danger/protected-person issue, then mediate only if eligible</x:v>
      </x:c>
      <x:c r="N45" s="13" t="str">
        <x:v>Threat/harassment example; requires safety screening.</x:v>
      </x:c>
      <x:c r="O45" s="13" t="str"/>
      <x:c r="P45" s="13" t="str">
        <x:v>Panggugulo at pagbabanta sa harap ng bahay</x:v>
      </x:c>
      <x:c r="Q45" s="13" t="str">
        <x:v>Added to balance 'threats' to 49 examples using the same Justice KP label schema.</x:v>
      </x:c>
      <x:c r="R45" s="13" t="str">
        <x:v>Synthetic row based on category coverage gap from uploaded PDF</x:v>
      </x:c>
    </x:row>
    <x:row r="46" ht="36" customHeight="1">
      <x:c r="A46" s="13" t="str">
        <x:v>SYN-THRT-036</x:v>
      </x:c>
      <x:c r="B46" s="13" t="str">
        <x:v>threats</x:v>
      </x:c>
      <x:c r="C46" s="13" t="str">
        <x:v>Synthetic</x:v>
      </x:c>
      <x:c r="D46" s="13" t="str"/>
      <x:c r="E46" s="13" t="str">
        <x:v>Criminal</x:v>
      </x:c>
      <x:c r="F46" s="13" t="str">
        <x:v>Pagbabanta na ipapahiya sa social media kung hindi magbabayad</x:v>
      </x:c>
      <x:c r="G46" s="13" t="str">
        <x:v>April 22, 2026</x:v>
      </x:c>
      <x:c r="H46" s="13" t="str">
        <x:v>-</x:v>
      </x:c>
      <x:c r="I46" s="13" t="str">
        <x:v>Synthetic example: no weapon or serious medical finding stated; system must still screen severity and immediate danger.</x:v>
      </x:c>
      <x:c r="J46" s="13" t="str">
        <x:v>For Screening</x:v>
      </x:c>
      <x:c r="K46" s="13" t="str">
        <x:v>KP_COVERED_AMICABLE</x:v>
      </x:c>
      <x:c r="L46" s="13" t="str">
        <x:v>Eligible for KP screening with safety check</x:v>
      </x:c>
      <x:c r="M46" s="13" t="str">
        <x:v>Screen imminent danger/protected-person issue, then mediate only if eligible</x:v>
      </x:c>
      <x:c r="N46" s="13" t="str">
        <x:v>Threat/harassment example; requires safety screening.</x:v>
      </x:c>
      <x:c r="O46" s="13" t="str"/>
      <x:c r="P46" s="13" t="str">
        <x:v>Pagbabanta na ipapahiya sa social media kung hindi magbabayad</x:v>
      </x:c>
      <x:c r="Q46" s="13" t="str">
        <x:v>Added to balance 'threats' to 49 examples using the same Justice KP label schema.</x:v>
      </x:c>
      <x:c r="R46" s="13" t="str">
        <x:v>Synthetic row based on category coverage gap from uploaded PDF</x:v>
      </x:c>
    </x:row>
    <x:row r="47" ht="36" customHeight="1">
      <x:c r="A47" s="13" t="str">
        <x:v>SYN-THRT-037</x:v>
      </x:c>
      <x:c r="B47" s="13" t="str">
        <x:v>threats</x:v>
      </x:c>
      <x:c r="C47" s="13" t="str">
        <x:v>Synthetic</x:v>
      </x:c>
      <x:c r="D47" s="13" t="str"/>
      <x:c r="E47" s="13" t="str">
        <x:v>Criminal</x:v>
      </x:c>
      <x:c r="F47" s="13" t="str">
        <x:v>Paninigaw at pag-amba ng pananakit sa kapitbahay</x:v>
      </x:c>
      <x:c r="G47" s="13" t="str">
        <x:v>April 25, 2026</x:v>
      </x:c>
      <x:c r="H47" s="13" t="str">
        <x:v>-</x:v>
      </x:c>
      <x:c r="I47" s="13" t="str">
        <x:v>Synthetic example: no weapon or serious medical finding stated; system must still screen severity and immediate danger.</x:v>
      </x:c>
      <x:c r="J47" s="13" t="str">
        <x:v>For Screening</x:v>
      </x:c>
      <x:c r="K47" s="13" t="str">
        <x:v>KP_COVERED_AMICABLE</x:v>
      </x:c>
      <x:c r="L47" s="13" t="str">
        <x:v>Eligible for KP screening with safety check</x:v>
      </x:c>
      <x:c r="M47" s="13" t="str">
        <x:v>Screen imminent danger/protected-person issue, then mediate only if eligible</x:v>
      </x:c>
      <x:c r="N47" s="13" t="str">
        <x:v>Threat/harassment example; requires safety screening.</x:v>
      </x:c>
      <x:c r="O47" s="13" t="str"/>
      <x:c r="P47" s="13" t="str">
        <x:v>Paninigaw at pag-amba ng pananakit sa kapitbahay</x:v>
      </x:c>
      <x:c r="Q47" s="13" t="str">
        <x:v>Added to balance 'threats' to 49 examples using the same Justice KP label schema.</x:v>
      </x:c>
      <x:c r="R47" s="13" t="str">
        <x:v>Synthetic row based on category coverage gap from uploaded PDF</x:v>
      </x:c>
    </x:row>
    <x:row r="48" ht="36" customHeight="1">
      <x:c r="A48" s="13" t="str">
        <x:v>SYN-THRT-038</x:v>
      </x:c>
      <x:c r="B48" s="13" t="str">
        <x:v>threats</x:v>
      </x:c>
      <x:c r="C48" s="13" t="str">
        <x:v>Synthetic</x:v>
      </x:c>
      <x:c r="D48" s="13" t="str"/>
      <x:c r="E48" s="13" t="str">
        <x:v>Criminal</x:v>
      </x:c>
      <x:c r="F48" s="13" t="str">
        <x:v>Pagbabanta tungkol sa away sa parking space</x:v>
      </x:c>
      <x:c r="G48" s="13" t="str">
        <x:v>April 28, 2026</x:v>
      </x:c>
      <x:c r="H48" s="13" t="str">
        <x:v>-</x:v>
      </x:c>
      <x:c r="I48" s="13" t="str">
        <x:v>Synthetic example: no weapon or serious medical finding stated; system must still screen severity and immediate danger.</x:v>
      </x:c>
      <x:c r="J48" s="13" t="str">
        <x:v>For Screening</x:v>
      </x:c>
      <x:c r="K48" s="13" t="str">
        <x:v>KP_COVERED_AMICABLE</x:v>
      </x:c>
      <x:c r="L48" s="13" t="str">
        <x:v>Eligible for KP screening with safety check</x:v>
      </x:c>
      <x:c r="M48" s="13" t="str">
        <x:v>Screen imminent danger/protected-person issue, then mediate only if eligible</x:v>
      </x:c>
      <x:c r="N48" s="13" t="str">
        <x:v>Threat/harassment example; requires safety screening.</x:v>
      </x:c>
      <x:c r="O48" s="13" t="str"/>
      <x:c r="P48" s="13" t="str">
        <x:v>Pagbabanta tungkol sa away sa parking space</x:v>
      </x:c>
      <x:c r="Q48" s="13" t="str">
        <x:v>Added to balance 'threats' to 49 examples using the same Justice KP label schema.</x:v>
      </x:c>
      <x:c r="R48" s="13" t="str">
        <x:v>Synthetic row based on category coverage gap from uploaded PDF</x:v>
      </x:c>
    </x:row>
    <x:row r="49" ht="36" customHeight="1">
      <x:c r="A49" s="13" t="str">
        <x:v>SYN-THRT-039</x:v>
      </x:c>
      <x:c r="B49" s="13" t="str">
        <x:v>threats</x:v>
      </x:c>
      <x:c r="C49" s="13" t="str">
        <x:v>Synthetic</x:v>
      </x:c>
      <x:c r="D49" s="13" t="str"/>
      <x:c r="E49" s="13" t="str">
        <x:v>Criminal</x:v>
      </x:c>
      <x:c r="F49" s="13" t="str">
        <x:v>Pagbabanta habang lasing sa labas ng bahay</x:v>
      </x:c>
      <x:c r="G49" s="13" t="str">
        <x:v>May 1, 2026</x:v>
      </x:c>
      <x:c r="H49" s="13" t="str">
        <x:v>-</x:v>
      </x:c>
      <x:c r="I49" s="13" t="str">
        <x:v>Synthetic example: no weapon or serious medical finding stated; system must still screen severity and immediate danger.</x:v>
      </x:c>
      <x:c r="J49" s="13" t="str">
        <x:v>For Screening</x:v>
      </x:c>
      <x:c r="K49" s="13" t="str">
        <x:v>KP_COVERED_AMICABLE</x:v>
      </x:c>
      <x:c r="L49" s="13" t="str">
        <x:v>Eligible for KP screening with safety check</x:v>
      </x:c>
      <x:c r="M49" s="13" t="str">
        <x:v>Screen imminent danger/protected-person issue, then mediate only if eligible</x:v>
      </x:c>
      <x:c r="N49" s="13" t="str">
        <x:v>Threat/harassment example; requires safety screening.</x:v>
      </x:c>
      <x:c r="O49" s="13" t="str"/>
      <x:c r="P49" s="13" t="str">
        <x:v>Pagbabanta habang lasing sa labas ng bahay</x:v>
      </x:c>
      <x:c r="Q49" s="13" t="str">
        <x:v>Added to balance 'threats' to 49 examples using the same Justice KP label schema.</x:v>
      </x:c>
      <x:c r="R49" s="13" t="str">
        <x:v>Synthetic row based on category coverage gap from uploaded PDF</x:v>
      </x:c>
    </x:row>
    <x:row r="50" ht="36" customHeight="1">
      <x:c r="A50" s="13" t="str">
        <x:v>SYN-THRT-040</x:v>
      </x:c>
      <x:c r="B50" s="13" t="str">
        <x:v>threats</x:v>
      </x:c>
      <x:c r="C50" s="13" t="str">
        <x:v>Synthetic</x:v>
      </x:c>
      <x:c r="D50" s="13" t="str"/>
      <x:c r="E50" s="13" t="str">
        <x:v>Criminal</x:v>
      </x:c>
      <x:c r="F50" s="13" t="str">
        <x:v>Pambubully at pananakot sa kapitbahay</x:v>
      </x:c>
      <x:c r="G50" s="13" t="str">
        <x:v>May 4, 2026</x:v>
      </x:c>
      <x:c r="H50" s="13" t="str">
        <x:v>-</x:v>
      </x:c>
      <x:c r="I50" s="13" t="str">
        <x:v>Synthetic example: no weapon or serious medical finding stated; system must still screen severity and immediate danger.</x:v>
      </x:c>
      <x:c r="J50" s="13" t="str">
        <x:v>For Screening</x:v>
      </x:c>
      <x:c r="K50" s="13" t="str">
        <x:v>KP_COVERED_AMICABLE</x:v>
      </x:c>
      <x:c r="L50" s="13" t="str">
        <x:v>Eligible for KP screening with safety check</x:v>
      </x:c>
      <x:c r="M50" s="13" t="str">
        <x:v>Screen imminent danger/protected-person issue, then mediate only if eligible</x:v>
      </x:c>
      <x:c r="N50" s="13" t="str">
        <x:v>Threat/harassment example; requires safety screening.</x:v>
      </x:c>
      <x:c r="O50" s="13" t="str"/>
      <x:c r="P50" s="13" t="str">
        <x:v>Pambubully at pananakot sa kapitbahay</x:v>
      </x:c>
      <x:c r="Q50" s="13" t="str">
        <x:v>Added to balance 'threats' to 49 examples using the same Justice KP label schema.</x:v>
      </x:c>
      <x:c r="R50" s="13" t="str">
        <x:v>Synthetic row based on category coverage gap from uploaded PDF</x:v>
      </x:c>
    </x:row>
  </x:sheetData>
  <x:pageMargins left="0.7" right="0.7" top="0.75" bottom="0.75" header="0.3" footer="0.3"/>
  <x:tableParts count="1">
    <x:tablePart xmlns:r="http://schemas.openxmlformats.org/officeDocument/2006/relationships" r:id="Rd8978606818b465e"/>
  </x:tableParts>
</x:worksheet>
</file>

<file path=xl/worksheets/sheet10.xml><?xml version="1.0" encoding="utf-8"?>
<x:worksheet xmlns:x="http://schemas.openxmlformats.org/spreadsheetml/2006/main">
  <x:sheetFormatPr defaultRowHeight="15"/>
  <x:cols>
    <x:col min="1" max="1" width="18" hidden="0" customWidth="1"/>
    <x:col min="2" max="2" width="22" hidden="0" customWidth="1"/>
    <x:col min="3" max="3" width="13" hidden="0" customWidth="1"/>
    <x:col min="4" max="4" width="18" hidden="0" customWidth="1"/>
    <x:col min="5" max="5" width="18" hidden="0" customWidth="1"/>
    <x:col min="6" max="6" width="38" hidden="0" customWidth="1"/>
    <x:col min="7" max="7" width="17" hidden="0" customWidth="1"/>
    <x:col min="9" max="9" width="55" hidden="0" customWidth="1"/>
    <x:col min="11" max="11" width="24" hidden="0" customWidth="1"/>
    <x:col min="12" max="12" width="32" hidden="0" customWidth="1"/>
    <x:col min="13" max="13" width="42" hidden="0" customWidth="1"/>
    <x:col min="14" max="14" width="50" hidden="0" customWidth="1"/>
    <x:col min="17" max="17" width="50" hidden="0" customWidth="1"/>
    <x:col min="18" max="18" width="35" hidden="0" customWidth="1"/>
  </x:cols>
  <x:sheetData>
    <x:row r="1" ht="42" customHeight="1">
      <x:c r="A1" s="6" t="str">
        <x:v>case_id</x:v>
      </x:c>
      <x:c r="B1" s="6" t="str">
        <x:v>case_type</x:v>
      </x:c>
      <x:c r="C1" s="6" t="str">
        <x:v>source_type</x:v>
      </x:c>
      <x:c r="D1" s="6" t="str">
        <x:v>source_pdf_case_id</x:v>
      </x:c>
      <x:c r="E1" s="6" t="str">
        <x:v>original_dispute_category</x:v>
      </x:c>
      <x:c r="F1" s="6" t="str">
        <x:v>original_nature</x:v>
      </x:c>
      <x:c r="G1" s="6" t="str">
        <x:v>date_filed</x:v>
      </x:c>
      <x:c r="H1" s="6" t="str">
        <x:v>date_of_settlement_or_award</x:v>
      </x:c>
      <x:c r="I1" s="6" t="str">
        <x:v>conversation_status</x:v>
      </x:c>
      <x:c r="J1" s="6" t="str">
        <x:v>action_taken</x:v>
      </x:c>
      <x:c r="K1" s="6" t="str">
        <x:v>justice_kp_label</x:v>
      </x:c>
      <x:c r="L1" s="6" t="str">
        <x:v>kp_eligibility</x:v>
      </x:c>
      <x:c r="M1" s="6" t="str">
        <x:v>recommended_system_action</x:v>
      </x:c>
      <x:c r="N1" s="6" t="str">
        <x:v>label_reason</x:v>
      </x:c>
      <x:c r="O1" s="6" t="str">
        <x:v>amount_or_penalty_reference</x:v>
      </x:c>
      <x:c r="P1" s="6" t="str">
        <x:v>evidence_of_type</x:v>
      </x:c>
      <x:c r="Q1" s="6" t="str">
        <x:v>synthetic_generation_note</x:v>
      </x:c>
      <x:c r="R1" s="6" t="str">
        <x:v>source_file</x:v>
      </x:c>
    </x:row>
    <x:row r="2" ht="36" customHeight="1">
      <x:c r="A2" s="13" t="str">
        <x:v>KP-25-017-PSWT</x:v>
      </x:c>
      <x:c r="B2" s="13" t="str">
        <x:v>VAWC/child abuse</x:v>
      </x:c>
      <x:c r="C2" s="13" t="str">
        <x:v>Real PDF</x:v>
      </x:c>
      <x:c r="D2" s="13" t="str">
        <x:v>KP-25-017-PSWT</x:v>
      </x:c>
      <x:c r="E2" s="13" t="str">
        <x:v>Criminal</x:v>
      </x:c>
      <x:c r="F2" s="13" t="str">
        <x:v>Pangmomolestiya</x:v>
      </x:c>
      <x:c r="G2" s="13" t="str">
        <x:v>February 3, 2025</x:v>
      </x:c>
      <x:c r="H2" s="13" t="str">
        <x:v>-</x:v>
      </x:c>
      <x:c r="I2" s="13" t="str">
        <x:v>Nagkaroon ng paghaharap subalit walang pagkakasundo. At ang maysumbong ay hindi na bumalik.</x:v>
      </x:c>
      <x:c r="J2" s="13" t="str">
        <x:v>Endorsed</x:v>
      </x:c>
      <x:c r="K2" s="13" t="str">
        <x:v>REFER_VAWC_CHILD_PROTECTION</x:v>
      </x:c>
      <x:c r="L2" s="13" t="str">
        <x:v>Not KP; mandatory safety referral screening</x:v>
      </x:c>
      <x:c r="M2" s="13" t="str">
        <x:v>Refer to appropriate authority / protection desk; do not mediate as ordinary KP case</x:v>
      </x:c>
      <x:c r="N2" s="13" t="str">
        <x:v>Nature indicates child/sexual-protection screening; refer for safety/legal assessment.</x:v>
      </x:c>
      <x:c r="O2" s="13" t="str"/>
      <x:c r="P2" s="13" t="str">
        <x:v>Pangmomolestiya</x:v>
      </x:c>
      <x:c r="Q2" s="13" t="str"/>
      <x:c r="R2" s="13" t="str">
        <x:v>KP CASE PSWT - Sheet1 - KP CASE PSWT - Sheet1.pdf</x:v>
      </x:c>
    </x:row>
    <x:row r="3" ht="36" customHeight="1">
      <x:c r="A3" s="13" t="str">
        <x:v>KP-25-021-PSWT</x:v>
      </x:c>
      <x:c r="B3" s="13" t="str">
        <x:v>VAWC/child abuse</x:v>
      </x:c>
      <x:c r="C3" s="13" t="str">
        <x:v>Real PDF</x:v>
      </x:c>
      <x:c r="D3" s="13" t="str">
        <x:v>KP-25-021-PSWT</x:v>
      </x:c>
      <x:c r="E3" s="13" t="str">
        <x:v>Criminal</x:v>
      </x:c>
      <x:c r="F3" s="13" t="str">
        <x:v>Panghahabol ng bata</x:v>
      </x:c>
      <x:c r="G3" s="13" t="str">
        <x:v>February 23, 2025</x:v>
      </x:c>
      <x:c r="H3" s="13" t="str">
        <x:v>-</x:v>
      </x:c>
      <x:c r="I3" s="13" t="str">
        <x:v>Walang pagkakasundo sa pagitan ng maysumbong at ipinaaumbong.</x:v>
      </x:c>
      <x:c r="J3" s="13" t="str">
        <x:v>Endorsed</x:v>
      </x:c>
      <x:c r="K3" s="13" t="str">
        <x:v>REFER_VAWC_CHILD_PROTECTION</x:v>
      </x:c>
      <x:c r="L3" s="13" t="str">
        <x:v>Not KP; mandatory safety referral screening</x:v>
      </x:c>
      <x:c r="M3" s="13" t="str">
        <x:v>Refer to appropriate authority / protection desk; do not mediate as ordinary KP case</x:v>
      </x:c>
      <x:c r="N3" s="13" t="str">
        <x:v>Nature indicates child/sexual-protection screening; refer for safety/legal assessment.</x:v>
      </x:c>
      <x:c r="O3" s="13" t="str"/>
      <x:c r="P3" s="13" t="str">
        <x:v>Panghahabol ng bata</x:v>
      </x:c>
      <x:c r="Q3" s="13" t="str"/>
      <x:c r="R3" s="13" t="str">
        <x:v>KP CASE PSWT - Sheet1 - KP CASE PSWT - Sheet1.pdf</x:v>
      </x:c>
    </x:row>
    <x:row r="4" ht="36" customHeight="1">
      <x:c r="A4" s="13" t="str">
        <x:v>KP-25-039-PSWT</x:v>
      </x:c>
      <x:c r="B4" s="13" t="str">
        <x:v>VAWC/child abuse</x:v>
      </x:c>
      <x:c r="C4" s="13" t="str">
        <x:v>Real PDF</x:v>
      </x:c>
      <x:c r="D4" s="13" t="str">
        <x:v>KP-25-039-PSWT</x:v>
      </x:c>
      <x:c r="E4" s="13" t="str">
        <x:v>Criminal</x:v>
      </x:c>
      <x:c r="F4" s="13" t="str">
        <x:v>Panghahabol ng aso sa bata</x:v>
      </x:c>
      <x:c r="G4" s="13" t="str">
        <x:v>April 29, 2025</x:v>
      </x:c>
      <x:c r="H4" s="13" t="str">
        <x:v>-</x:v>
      </x:c>
      <x:c r="I4" s="13" t="str">
        <x:v>Walang pagkakasundo sa dalawang panig.</x:v>
      </x:c>
      <x:c r="J4" s="13" t="str">
        <x:v>Pending</x:v>
      </x:c>
      <x:c r="K4" s="13" t="str">
        <x:v>REFER_VAWC_CHILD_PROTECTION</x:v>
      </x:c>
      <x:c r="L4" s="13" t="str">
        <x:v>Not KP; mandatory safety referral screening</x:v>
      </x:c>
      <x:c r="M4" s="13" t="str">
        <x:v>Refer to appropriate authority / protection desk; do not mediate as ordinary KP case</x:v>
      </x:c>
      <x:c r="N4" s="13" t="str">
        <x:v>Nature indicates child/sexual-protection screening; refer for safety/legal assessment.</x:v>
      </x:c>
      <x:c r="O4" s="13" t="str"/>
      <x:c r="P4" s="13" t="str">
        <x:v>Panghahabol ng aso sa bata</x:v>
      </x:c>
      <x:c r="Q4" s="13" t="str"/>
      <x:c r="R4" s="13" t="str">
        <x:v>KP CASE PSWT - Sheet1 - KP CASE PSWT - Sheet1.pdf</x:v>
      </x:c>
    </x:row>
    <x:row r="5" ht="36" customHeight="1">
      <x:c r="A5" s="13" t="str">
        <x:v>SYN-VACC-001</x:v>
      </x:c>
      <x:c r="B5" s="13" t="str">
        <x:v>VAWC/child abuse</x:v>
      </x:c>
      <x:c r="C5" s="13" t="str">
        <x:v>Synthetic</x:v>
      </x:c>
      <x:c r="D5" s="13" t="str"/>
      <x:c r="E5" s="13" t="str">
        <x:v>Referral</x:v>
      </x:c>
      <x:c r="F5" s="13" t="str">
        <x:v>Reklamo na may pananakit sa bata sa loob ng tahanan</x:v>
      </x:c>
      <x:c r="G5" s="13" t="str">
        <x:v>January 8, 2026</x:v>
      </x:c>
      <x:c r="H5" s="13" t="str">
        <x:v>-</x:v>
      </x:c>
      <x:c r="I5" s="13" t="str">
        <x:v>Synthetic example: protected-person/child-safety concern; should be routed for referral and not ordinary mediation.</x:v>
      </x:c>
      <x:c r="J5" s="13" t="str">
        <x:v>Refer</x:v>
      </x:c>
      <x:c r="K5" s="13" t="str">
        <x:v>REFER_VAWC_CHILD_PROTECTION</x:v>
      </x:c>
      <x:c r="L5" s="13" t="str">
        <x:v>Not KP; mandatory safety referral screening</x:v>
      </x:c>
      <x:c r="M5" s="13" t="str">
        <x:v>Refer to VAWC desk/CSWDO/PNP/proper authority; do not mediate as ordinary KP case</x:v>
      </x:c>
      <x:c r="N5" s="13" t="str">
        <x:v>Protected-person or child-safety issue requires referral.</x:v>
      </x:c>
      <x:c r="O5" s="13" t="str"/>
      <x:c r="P5" s="13" t="str">
        <x:v>Reklamo na may pananakit sa bata sa loob ng tahanan</x:v>
      </x:c>
      <x:c r="Q5" s="13" t="str">
        <x:v>Added to balance 'VAWC/child abuse' to 49 examples using the same Justice KP label schema.</x:v>
      </x:c>
      <x:c r="R5" s="13" t="str">
        <x:v>Synthetic row based on category coverage gap from uploaded PDF</x:v>
      </x:c>
    </x:row>
    <x:row r="6" ht="36" customHeight="1">
      <x:c r="A6" s="13" t="str">
        <x:v>SYN-VACC-002</x:v>
      </x:c>
      <x:c r="B6" s="13" t="str">
        <x:v>VAWC/child abuse</x:v>
      </x:c>
      <x:c r="C6" s="13" t="str">
        <x:v>Synthetic</x:v>
      </x:c>
      <x:c r="D6" s="13" t="str"/>
      <x:c r="E6" s="13" t="str">
        <x:v>Referral</x:v>
      </x:c>
      <x:c r="F6" s="13" t="str">
        <x:v>Ulat tungkol sa pagbabanta laban sa dating kinakasama</x:v>
      </x:c>
      <x:c r="G6" s="13" t="str">
        <x:v>January 11, 2026</x:v>
      </x:c>
      <x:c r="H6" s="13" t="str">
        <x:v>-</x:v>
      </x:c>
      <x:c r="I6" s="13" t="str">
        <x:v>Synthetic example: protected-person/child-safety concern; should be routed for referral and not ordinary mediation.</x:v>
      </x:c>
      <x:c r="J6" s="13" t="str">
        <x:v>Refer</x:v>
      </x:c>
      <x:c r="K6" s="13" t="str">
        <x:v>REFER_VAWC_CHILD_PROTECTION</x:v>
      </x:c>
      <x:c r="L6" s="13" t="str">
        <x:v>Not KP; mandatory safety referral screening</x:v>
      </x:c>
      <x:c r="M6" s="13" t="str">
        <x:v>Refer to VAWC desk/CSWDO/PNP/proper authority; do not mediate as ordinary KP case</x:v>
      </x:c>
      <x:c r="N6" s="13" t="str">
        <x:v>Protected-person or child-safety issue requires referral.</x:v>
      </x:c>
      <x:c r="O6" s="13" t="str"/>
      <x:c r="P6" s="13" t="str">
        <x:v>Ulat tungkol sa pagbabanta laban sa dating kinakasama</x:v>
      </x:c>
      <x:c r="Q6" s="13" t="str">
        <x:v>Added to balance 'VAWC/child abuse' to 49 examples using the same Justice KP label schema.</x:v>
      </x:c>
      <x:c r="R6" s="13" t="str">
        <x:v>Synthetic row based on category coverage gap from uploaded PDF</x:v>
      </x:c>
    </x:row>
    <x:row r="7" ht="36" customHeight="1">
      <x:c r="A7" s="13" t="str">
        <x:v>SYN-VACC-003</x:v>
      </x:c>
      <x:c r="B7" s="13" t="str">
        <x:v>VAWC/child abuse</x:v>
      </x:c>
      <x:c r="C7" s="13" t="str">
        <x:v>Synthetic</x:v>
      </x:c>
      <x:c r="D7" s="13" t="str"/>
      <x:c r="E7" s="13" t="str">
        <x:v>Referral</x:v>
      </x:c>
      <x:c r="F7" s="13" t="str">
        <x:v>Paghingi ng tulong dahil may batang takot umuwi sa bahay</x:v>
      </x:c>
      <x:c r="G7" s="13" t="str">
        <x:v>January 14, 2026</x:v>
      </x:c>
      <x:c r="H7" s="13" t="str">
        <x:v>-</x:v>
      </x:c>
      <x:c r="I7" s="13" t="str">
        <x:v>Synthetic example: protected-person/child-safety concern; should be routed for referral and not ordinary mediation.</x:v>
      </x:c>
      <x:c r="J7" s="13" t="str">
        <x:v>Refer</x:v>
      </x:c>
      <x:c r="K7" s="13" t="str">
        <x:v>REFER_VAWC_CHILD_PROTECTION</x:v>
      </x:c>
      <x:c r="L7" s="13" t="str">
        <x:v>Not KP; mandatory safety referral screening</x:v>
      </x:c>
      <x:c r="M7" s="13" t="str">
        <x:v>Refer to VAWC desk/CSWDO/PNP/proper authority; do not mediate as ordinary KP case</x:v>
      </x:c>
      <x:c r="N7" s="13" t="str">
        <x:v>Protected-person or child-safety issue requires referral.</x:v>
      </x:c>
      <x:c r="O7" s="13" t="str"/>
      <x:c r="P7" s="13" t="str">
        <x:v>Paghingi ng tulong dahil may batang takot umuwi sa bahay</x:v>
      </x:c>
      <x:c r="Q7" s="13" t="str">
        <x:v>Added to balance 'VAWC/child abuse' to 49 examples using the same Justice KP label schema.</x:v>
      </x:c>
      <x:c r="R7" s="13" t="str">
        <x:v>Synthetic row based on category coverage gap from uploaded PDF</x:v>
      </x:c>
    </x:row>
    <x:row r="8" ht="36" customHeight="1">
      <x:c r="A8" s="13" t="str">
        <x:v>SYN-VACC-004</x:v>
      </x:c>
      <x:c r="B8" s="13" t="str">
        <x:v>VAWC/child abuse</x:v>
      </x:c>
      <x:c r="C8" s="13" t="str">
        <x:v>Synthetic</x:v>
      </x:c>
      <x:c r="D8" s="13" t="str"/>
      <x:c r="E8" s="13" t="str">
        <x:v>Referral</x:v>
      </x:c>
      <x:c r="F8" s="13" t="str">
        <x:v>Reklamo ng pananakit sa asawa o kinakasama</x:v>
      </x:c>
      <x:c r="G8" s="13" t="str">
        <x:v>January 17, 2026</x:v>
      </x:c>
      <x:c r="H8" s="13" t="str">
        <x:v>-</x:v>
      </x:c>
      <x:c r="I8" s="13" t="str">
        <x:v>Synthetic example: protected-person/child-safety concern; should be routed for referral and not ordinary mediation.</x:v>
      </x:c>
      <x:c r="J8" s="13" t="str">
        <x:v>Refer</x:v>
      </x:c>
      <x:c r="K8" s="13" t="str">
        <x:v>REFER_VAWC_CHILD_PROTECTION</x:v>
      </x:c>
      <x:c r="L8" s="13" t="str">
        <x:v>Not KP; mandatory safety referral screening</x:v>
      </x:c>
      <x:c r="M8" s="13" t="str">
        <x:v>Refer to VAWC desk/CSWDO/PNP/proper authority; do not mediate as ordinary KP case</x:v>
      </x:c>
      <x:c r="N8" s="13" t="str">
        <x:v>Protected-person or child-safety issue requires referral.</x:v>
      </x:c>
      <x:c r="O8" s="13" t="str"/>
      <x:c r="P8" s="13" t="str">
        <x:v>Reklamo ng pananakit sa asawa o kinakasama</x:v>
      </x:c>
      <x:c r="Q8" s="13" t="str">
        <x:v>Added to balance 'VAWC/child abuse' to 49 examples using the same Justice KP label schema.</x:v>
      </x:c>
      <x:c r="R8" s="13" t="str">
        <x:v>Synthetic row based on category coverage gap from uploaded PDF</x:v>
      </x:c>
    </x:row>
    <x:row r="9" ht="36" customHeight="1">
      <x:c r="A9" s="13" t="str">
        <x:v>SYN-VACC-005</x:v>
      </x:c>
      <x:c r="B9" s="13" t="str">
        <x:v>VAWC/child abuse</x:v>
      </x:c>
      <x:c r="C9" s="13" t="str">
        <x:v>Synthetic</x:v>
      </x:c>
      <x:c r="D9" s="13" t="str"/>
      <x:c r="E9" s="13" t="str">
        <x:v>Referral</x:v>
      </x:c>
      <x:c r="F9" s="13" t="str">
        <x:v>Ulat ng harassment sa menor de edad</x:v>
      </x:c>
      <x:c r="G9" s="13" t="str">
        <x:v>January 20, 2026</x:v>
      </x:c>
      <x:c r="H9" s="13" t="str">
        <x:v>-</x:v>
      </x:c>
      <x:c r="I9" s="13" t="str">
        <x:v>Synthetic example: protected-person/child-safety concern; should be routed for referral and not ordinary mediation.</x:v>
      </x:c>
      <x:c r="J9" s="13" t="str">
        <x:v>Refer</x:v>
      </x:c>
      <x:c r="K9" s="13" t="str">
        <x:v>REFER_VAWC_CHILD_PROTECTION</x:v>
      </x:c>
      <x:c r="L9" s="13" t="str">
        <x:v>Not KP; mandatory safety referral screening</x:v>
      </x:c>
      <x:c r="M9" s="13" t="str">
        <x:v>Refer to VAWC desk/CSWDO/PNP/proper authority; do not mediate as ordinary KP case</x:v>
      </x:c>
      <x:c r="N9" s="13" t="str">
        <x:v>Protected-person or child-safety issue requires referral.</x:v>
      </x:c>
      <x:c r="O9" s="13" t="str"/>
      <x:c r="P9" s="13" t="str">
        <x:v>Ulat ng harassment sa menor de edad</x:v>
      </x:c>
      <x:c r="Q9" s="13" t="str">
        <x:v>Added to balance 'VAWC/child abuse' to 49 examples using the same Justice KP label schema.</x:v>
      </x:c>
      <x:c r="R9" s="13" t="str">
        <x:v>Synthetic row based on category coverage gap from uploaded PDF</x:v>
      </x:c>
    </x:row>
    <x:row r="10" ht="36" customHeight="1">
      <x:c r="A10" s="13" t="str">
        <x:v>SYN-VACC-006</x:v>
      </x:c>
      <x:c r="B10" s="13" t="str">
        <x:v>VAWC/child abuse</x:v>
      </x:c>
      <x:c r="C10" s="13" t="str">
        <x:v>Synthetic</x:v>
      </x:c>
      <x:c r="D10" s="13" t="str"/>
      <x:c r="E10" s="13" t="str">
        <x:v>Referral</x:v>
      </x:c>
      <x:c r="F10" s="13" t="str">
        <x:v>Paghingi ng referral para sa child-protection concern</x:v>
      </x:c>
      <x:c r="G10" s="13" t="str">
        <x:v>January 23, 2026</x:v>
      </x:c>
      <x:c r="H10" s="13" t="str">
        <x:v>-</x:v>
      </x:c>
      <x:c r="I10" s="13" t="str">
        <x:v>Synthetic example: protected-person/child-safety concern; should be routed for referral and not ordinary mediation.</x:v>
      </x:c>
      <x:c r="J10" s="13" t="str">
        <x:v>Refer</x:v>
      </x:c>
      <x:c r="K10" s="13" t="str">
        <x:v>REFER_VAWC_CHILD_PROTECTION</x:v>
      </x:c>
      <x:c r="L10" s="13" t="str">
        <x:v>Not KP; mandatory safety referral screening</x:v>
      </x:c>
      <x:c r="M10" s="13" t="str">
        <x:v>Refer to VAWC desk/CSWDO/PNP/proper authority; do not mediate as ordinary KP case</x:v>
      </x:c>
      <x:c r="N10" s="13" t="str">
        <x:v>Protected-person or child-safety issue requires referral.</x:v>
      </x:c>
      <x:c r="O10" s="13" t="str"/>
      <x:c r="P10" s="13" t="str">
        <x:v>Paghingi ng referral para sa child-protection concern</x:v>
      </x:c>
      <x:c r="Q10" s="13" t="str">
        <x:v>Added to balance 'VAWC/child abuse' to 49 examples using the same Justice KP label schema.</x:v>
      </x:c>
      <x:c r="R10" s="13" t="str">
        <x:v>Synthetic row based on category coverage gap from uploaded PDF</x:v>
      </x:c>
    </x:row>
    <x:row r="11" ht="36" customHeight="1">
      <x:c r="A11" s="13" t="str">
        <x:v>SYN-VACC-007</x:v>
      </x:c>
      <x:c r="B11" s="13" t="str">
        <x:v>VAWC/child abuse</x:v>
      </x:c>
      <x:c r="C11" s="13" t="str">
        <x:v>Synthetic</x:v>
      </x:c>
      <x:c r="D11" s="13" t="str"/>
      <x:c r="E11" s="13" t="str">
        <x:v>Referral</x:v>
      </x:c>
      <x:c r="F11" s="13" t="str">
        <x:v>Reklamo sa paulit-ulit na pananakot sa babae sa loob ng bahay</x:v>
      </x:c>
      <x:c r="G11" s="13" t="str">
        <x:v>January 26, 2026</x:v>
      </x:c>
      <x:c r="H11" s="13" t="str">
        <x:v>-</x:v>
      </x:c>
      <x:c r="I11" s="13" t="str">
        <x:v>Synthetic example: protected-person/child-safety concern; should be routed for referral and not ordinary mediation.</x:v>
      </x:c>
      <x:c r="J11" s="13" t="str">
        <x:v>Refer</x:v>
      </x:c>
      <x:c r="K11" s="13" t="str">
        <x:v>REFER_VAWC_CHILD_PROTECTION</x:v>
      </x:c>
      <x:c r="L11" s="13" t="str">
        <x:v>Not KP; mandatory safety referral screening</x:v>
      </x:c>
      <x:c r="M11" s="13" t="str">
        <x:v>Refer to VAWC desk/CSWDO/PNP/proper authority; do not mediate as ordinary KP case</x:v>
      </x:c>
      <x:c r="N11" s="13" t="str">
        <x:v>Protected-person or child-safety issue requires referral.</x:v>
      </x:c>
      <x:c r="O11" s="13" t="str"/>
      <x:c r="P11" s="13" t="str">
        <x:v>Reklamo sa paulit-ulit na pananakot sa babae sa loob ng bahay</x:v>
      </x:c>
      <x:c r="Q11" s="13" t="str">
        <x:v>Added to balance 'VAWC/child abuse' to 49 examples using the same Justice KP label schema.</x:v>
      </x:c>
      <x:c r="R11" s="13" t="str">
        <x:v>Synthetic row based on category coverage gap from uploaded PDF</x:v>
      </x:c>
    </x:row>
    <x:row r="12" ht="36" customHeight="1">
      <x:c r="A12" s="13" t="str">
        <x:v>SYN-VACC-008</x:v>
      </x:c>
      <x:c r="B12" s="13" t="str">
        <x:v>VAWC/child abuse</x:v>
      </x:c>
      <x:c r="C12" s="13" t="str">
        <x:v>Synthetic</x:v>
      </x:c>
      <x:c r="D12" s="13" t="str"/>
      <x:c r="E12" s="13" t="str">
        <x:v>Referral</x:v>
      </x:c>
      <x:c r="F12" s="13" t="str">
        <x:v>Ulat ng kapitbahay tungkol sa posibleng child abuse</x:v>
      </x:c>
      <x:c r="G12" s="13" t="str">
        <x:v>January 29, 2026</x:v>
      </x:c>
      <x:c r="H12" s="13" t="str">
        <x:v>-</x:v>
      </x:c>
      <x:c r="I12" s="13" t="str">
        <x:v>Synthetic example: protected-person/child-safety concern; should be routed for referral and not ordinary mediation.</x:v>
      </x:c>
      <x:c r="J12" s="13" t="str">
        <x:v>Refer</x:v>
      </x:c>
      <x:c r="K12" s="13" t="str">
        <x:v>REFER_VAWC_CHILD_PROTECTION</x:v>
      </x:c>
      <x:c r="L12" s="13" t="str">
        <x:v>Not KP; mandatory safety referral screening</x:v>
      </x:c>
      <x:c r="M12" s="13" t="str">
        <x:v>Refer to VAWC desk/CSWDO/PNP/proper authority; do not mediate as ordinary KP case</x:v>
      </x:c>
      <x:c r="N12" s="13" t="str">
        <x:v>Protected-person or child-safety issue requires referral.</x:v>
      </x:c>
      <x:c r="O12" s="13" t="str"/>
      <x:c r="P12" s="13" t="str">
        <x:v>Ulat ng kapitbahay tungkol sa posibleng child abuse</x:v>
      </x:c>
      <x:c r="Q12" s="13" t="str">
        <x:v>Added to balance 'VAWC/child abuse' to 49 examples using the same Justice KP label schema.</x:v>
      </x:c>
      <x:c r="R12" s="13" t="str">
        <x:v>Synthetic row based on category coverage gap from uploaded PDF</x:v>
      </x:c>
    </x:row>
    <x:row r="13" ht="36" customHeight="1">
      <x:c r="A13" s="13" t="str">
        <x:v>SYN-VACC-009</x:v>
      </x:c>
      <x:c r="B13" s="13" t="str">
        <x:v>VAWC/child abuse</x:v>
      </x:c>
      <x:c r="C13" s="13" t="str">
        <x:v>Synthetic</x:v>
      </x:c>
      <x:c r="D13" s="13" t="str"/>
      <x:c r="E13" s="13" t="str">
        <x:v>Referral</x:v>
      </x:c>
      <x:c r="F13" s="13" t="str">
        <x:v>Paghingi ng tulong sa barangay dahil may banta sa anak</x:v>
      </x:c>
      <x:c r="G13" s="13" t="str">
        <x:v>February 1, 2026</x:v>
      </x:c>
      <x:c r="H13" s="13" t="str">
        <x:v>-</x:v>
      </x:c>
      <x:c r="I13" s="13" t="str">
        <x:v>Synthetic example: protected-person/child-safety concern; should be routed for referral and not ordinary mediation.</x:v>
      </x:c>
      <x:c r="J13" s="13" t="str">
        <x:v>Refer</x:v>
      </x:c>
      <x:c r="K13" s="13" t="str">
        <x:v>REFER_VAWC_CHILD_PROTECTION</x:v>
      </x:c>
      <x:c r="L13" s="13" t="str">
        <x:v>Not KP; mandatory safety referral screening</x:v>
      </x:c>
      <x:c r="M13" s="13" t="str">
        <x:v>Refer to VAWC desk/CSWDO/PNP/proper authority; do not mediate as ordinary KP case</x:v>
      </x:c>
      <x:c r="N13" s="13" t="str">
        <x:v>Protected-person or child-safety issue requires referral.</x:v>
      </x:c>
      <x:c r="O13" s="13" t="str"/>
      <x:c r="P13" s="13" t="str">
        <x:v>Paghingi ng tulong sa barangay dahil may banta sa anak</x:v>
      </x:c>
      <x:c r="Q13" s="13" t="str">
        <x:v>Added to balance 'VAWC/child abuse' to 49 examples using the same Justice KP label schema.</x:v>
      </x:c>
      <x:c r="R13" s="13" t="str">
        <x:v>Synthetic row based on category coverage gap from uploaded PDF</x:v>
      </x:c>
    </x:row>
    <x:row r="14" ht="36" customHeight="1">
      <x:c r="A14" s="13" t="str">
        <x:v>SYN-VACC-010</x:v>
      </x:c>
      <x:c r="B14" s="13" t="str">
        <x:v>VAWC/child abuse</x:v>
      </x:c>
      <x:c r="C14" s="13" t="str">
        <x:v>Synthetic</x:v>
      </x:c>
      <x:c r="D14" s="13" t="str"/>
      <x:c r="E14" s="13" t="str">
        <x:v>Referral</x:v>
      </x:c>
      <x:c r="F14" s="13" t="str">
        <x:v>Reklamo na may emotional abuse sa dating partner</x:v>
      </x:c>
      <x:c r="G14" s="13" t="str">
        <x:v>February 4, 2026</x:v>
      </x:c>
      <x:c r="H14" s="13" t="str">
        <x:v>-</x:v>
      </x:c>
      <x:c r="I14" s="13" t="str">
        <x:v>Synthetic example: protected-person/child-safety concern; should be routed for referral and not ordinary mediation.</x:v>
      </x:c>
      <x:c r="J14" s="13" t="str">
        <x:v>Refer</x:v>
      </x:c>
      <x:c r="K14" s="13" t="str">
        <x:v>REFER_VAWC_CHILD_PROTECTION</x:v>
      </x:c>
      <x:c r="L14" s="13" t="str">
        <x:v>Not KP; mandatory safety referral screening</x:v>
      </x:c>
      <x:c r="M14" s="13" t="str">
        <x:v>Refer to VAWC desk/CSWDO/PNP/proper authority; do not mediate as ordinary KP case</x:v>
      </x:c>
      <x:c r="N14" s="13" t="str">
        <x:v>Protected-person or child-safety issue requires referral.</x:v>
      </x:c>
      <x:c r="O14" s="13" t="str"/>
      <x:c r="P14" s="13" t="str">
        <x:v>Reklamo na may emotional abuse sa dating partner</x:v>
      </x:c>
      <x:c r="Q14" s="13" t="str">
        <x:v>Added to balance 'VAWC/child abuse' to 49 examples using the same Justice KP label schema.</x:v>
      </x:c>
      <x:c r="R14" s="13" t="str">
        <x:v>Synthetic row based on category coverage gap from uploaded PDF</x:v>
      </x:c>
    </x:row>
    <x:row r="15" ht="36" customHeight="1">
      <x:c r="A15" s="13" t="str">
        <x:v>SYN-VACC-011</x:v>
      </x:c>
      <x:c r="B15" s="13" t="str">
        <x:v>VAWC/child abuse</x:v>
      </x:c>
      <x:c r="C15" s="13" t="str">
        <x:v>Synthetic</x:v>
      </x:c>
      <x:c r="D15" s="13" t="str"/>
      <x:c r="E15" s="13" t="str">
        <x:v>Referral</x:v>
      </x:c>
      <x:c r="F15" s="13" t="str">
        <x:v>Reklamo na may pananakit sa bata sa loob ng tahanan</x:v>
      </x:c>
      <x:c r="G15" s="13" t="str">
        <x:v>February 7, 2026</x:v>
      </x:c>
      <x:c r="H15" s="13" t="str">
        <x:v>-</x:v>
      </x:c>
      <x:c r="I15" s="13" t="str">
        <x:v>Synthetic example: protected-person/child-safety concern; should be routed for referral and not ordinary mediation.</x:v>
      </x:c>
      <x:c r="J15" s="13" t="str">
        <x:v>Refer</x:v>
      </x:c>
      <x:c r="K15" s="13" t="str">
        <x:v>REFER_VAWC_CHILD_PROTECTION</x:v>
      </x:c>
      <x:c r="L15" s="13" t="str">
        <x:v>Not KP; mandatory safety referral screening</x:v>
      </x:c>
      <x:c r="M15" s="13" t="str">
        <x:v>Refer to VAWC desk/CSWDO/PNP/proper authority; do not mediate as ordinary KP case</x:v>
      </x:c>
      <x:c r="N15" s="13" t="str">
        <x:v>Protected-person or child-safety issue requires referral.</x:v>
      </x:c>
      <x:c r="O15" s="13" t="str"/>
      <x:c r="P15" s="13" t="str">
        <x:v>Reklamo na may pananakit sa bata sa loob ng tahanan</x:v>
      </x:c>
      <x:c r="Q15" s="13" t="str">
        <x:v>Added to balance 'VAWC/child abuse' to 49 examples using the same Justice KP label schema.</x:v>
      </x:c>
      <x:c r="R15" s="13" t="str">
        <x:v>Synthetic row based on category coverage gap from uploaded PDF</x:v>
      </x:c>
    </x:row>
    <x:row r="16" ht="36" customHeight="1">
      <x:c r="A16" s="13" t="str">
        <x:v>SYN-VACC-012</x:v>
      </x:c>
      <x:c r="B16" s="13" t="str">
        <x:v>VAWC/child abuse</x:v>
      </x:c>
      <x:c r="C16" s="13" t="str">
        <x:v>Synthetic</x:v>
      </x:c>
      <x:c r="D16" s="13" t="str"/>
      <x:c r="E16" s="13" t="str">
        <x:v>Referral</x:v>
      </x:c>
      <x:c r="F16" s="13" t="str">
        <x:v>Ulat tungkol sa pagbabanta laban sa dating kinakasama</x:v>
      </x:c>
      <x:c r="G16" s="13" t="str">
        <x:v>February 10, 2026</x:v>
      </x:c>
      <x:c r="H16" s="13" t="str">
        <x:v>-</x:v>
      </x:c>
      <x:c r="I16" s="13" t="str">
        <x:v>Synthetic example: protected-person/child-safety concern; should be routed for referral and not ordinary mediation.</x:v>
      </x:c>
      <x:c r="J16" s="13" t="str">
        <x:v>Refer</x:v>
      </x:c>
      <x:c r="K16" s="13" t="str">
        <x:v>REFER_VAWC_CHILD_PROTECTION</x:v>
      </x:c>
      <x:c r="L16" s="13" t="str">
        <x:v>Not KP; mandatory safety referral screening</x:v>
      </x:c>
      <x:c r="M16" s="13" t="str">
        <x:v>Refer to VAWC desk/CSWDO/PNP/proper authority; do not mediate as ordinary KP case</x:v>
      </x:c>
      <x:c r="N16" s="13" t="str">
        <x:v>Protected-person or child-safety issue requires referral.</x:v>
      </x:c>
      <x:c r="O16" s="13" t="str"/>
      <x:c r="P16" s="13" t="str">
        <x:v>Ulat tungkol sa pagbabanta laban sa dating kinakasama</x:v>
      </x:c>
      <x:c r="Q16" s="13" t="str">
        <x:v>Added to balance 'VAWC/child abuse' to 49 examples using the same Justice KP label schema.</x:v>
      </x:c>
      <x:c r="R16" s="13" t="str">
        <x:v>Synthetic row based on category coverage gap from uploaded PDF</x:v>
      </x:c>
    </x:row>
    <x:row r="17" ht="36" customHeight="1">
      <x:c r="A17" s="13" t="str">
        <x:v>SYN-VACC-013</x:v>
      </x:c>
      <x:c r="B17" s="13" t="str">
        <x:v>VAWC/child abuse</x:v>
      </x:c>
      <x:c r="C17" s="13" t="str">
        <x:v>Synthetic</x:v>
      </x:c>
      <x:c r="D17" s="13" t="str"/>
      <x:c r="E17" s="13" t="str">
        <x:v>Referral</x:v>
      </x:c>
      <x:c r="F17" s="13" t="str">
        <x:v>Paghingi ng tulong dahil may batang takot umuwi sa bahay</x:v>
      </x:c>
      <x:c r="G17" s="13" t="str">
        <x:v>February 13, 2026</x:v>
      </x:c>
      <x:c r="H17" s="13" t="str">
        <x:v>-</x:v>
      </x:c>
      <x:c r="I17" s="13" t="str">
        <x:v>Synthetic example: protected-person/child-safety concern; should be routed for referral and not ordinary mediation.</x:v>
      </x:c>
      <x:c r="J17" s="13" t="str">
        <x:v>Refer</x:v>
      </x:c>
      <x:c r="K17" s="13" t="str">
        <x:v>REFER_VAWC_CHILD_PROTECTION</x:v>
      </x:c>
      <x:c r="L17" s="13" t="str">
        <x:v>Not KP; mandatory safety referral screening</x:v>
      </x:c>
      <x:c r="M17" s="13" t="str">
        <x:v>Refer to VAWC desk/CSWDO/PNP/proper authority; do not mediate as ordinary KP case</x:v>
      </x:c>
      <x:c r="N17" s="13" t="str">
        <x:v>Protected-person or child-safety issue requires referral.</x:v>
      </x:c>
      <x:c r="O17" s="13" t="str"/>
      <x:c r="P17" s="13" t="str">
        <x:v>Paghingi ng tulong dahil may batang takot umuwi sa bahay</x:v>
      </x:c>
      <x:c r="Q17" s="13" t="str">
        <x:v>Added to balance 'VAWC/child abuse' to 49 examples using the same Justice KP label schema.</x:v>
      </x:c>
      <x:c r="R17" s="13" t="str">
        <x:v>Synthetic row based on category coverage gap from uploaded PDF</x:v>
      </x:c>
    </x:row>
    <x:row r="18" ht="36" customHeight="1">
      <x:c r="A18" s="13" t="str">
        <x:v>SYN-VACC-014</x:v>
      </x:c>
      <x:c r="B18" s="13" t="str">
        <x:v>VAWC/child abuse</x:v>
      </x:c>
      <x:c r="C18" s="13" t="str">
        <x:v>Synthetic</x:v>
      </x:c>
      <x:c r="D18" s="13" t="str"/>
      <x:c r="E18" s="13" t="str">
        <x:v>Referral</x:v>
      </x:c>
      <x:c r="F18" s="13" t="str">
        <x:v>Reklamo ng pananakit sa asawa o kinakasama</x:v>
      </x:c>
      <x:c r="G18" s="13" t="str">
        <x:v>February 16, 2026</x:v>
      </x:c>
      <x:c r="H18" s="13" t="str">
        <x:v>-</x:v>
      </x:c>
      <x:c r="I18" s="13" t="str">
        <x:v>Synthetic example: protected-person/child-safety concern; should be routed for referral and not ordinary mediation.</x:v>
      </x:c>
      <x:c r="J18" s="13" t="str">
        <x:v>Refer</x:v>
      </x:c>
      <x:c r="K18" s="13" t="str">
        <x:v>REFER_VAWC_CHILD_PROTECTION</x:v>
      </x:c>
      <x:c r="L18" s="13" t="str">
        <x:v>Not KP; mandatory safety referral screening</x:v>
      </x:c>
      <x:c r="M18" s="13" t="str">
        <x:v>Refer to VAWC desk/CSWDO/PNP/proper authority; do not mediate as ordinary KP case</x:v>
      </x:c>
      <x:c r="N18" s="13" t="str">
        <x:v>Protected-person or child-safety issue requires referral.</x:v>
      </x:c>
      <x:c r="O18" s="13" t="str"/>
      <x:c r="P18" s="13" t="str">
        <x:v>Reklamo ng pananakit sa asawa o kinakasama</x:v>
      </x:c>
      <x:c r="Q18" s="13" t="str">
        <x:v>Added to balance 'VAWC/child abuse' to 49 examples using the same Justice KP label schema.</x:v>
      </x:c>
      <x:c r="R18" s="13" t="str">
        <x:v>Synthetic row based on category coverage gap from uploaded PDF</x:v>
      </x:c>
    </x:row>
    <x:row r="19" ht="36" customHeight="1">
      <x:c r="A19" s="13" t="str">
        <x:v>SYN-VACC-015</x:v>
      </x:c>
      <x:c r="B19" s="13" t="str">
        <x:v>VAWC/child abuse</x:v>
      </x:c>
      <x:c r="C19" s="13" t="str">
        <x:v>Synthetic</x:v>
      </x:c>
      <x:c r="D19" s="13" t="str"/>
      <x:c r="E19" s="13" t="str">
        <x:v>Referral</x:v>
      </x:c>
      <x:c r="F19" s="13" t="str">
        <x:v>Ulat ng harassment sa menor de edad</x:v>
      </x:c>
      <x:c r="G19" s="13" t="str">
        <x:v>February 19, 2026</x:v>
      </x:c>
      <x:c r="H19" s="13" t="str">
        <x:v>-</x:v>
      </x:c>
      <x:c r="I19" s="13" t="str">
        <x:v>Synthetic example: protected-person/child-safety concern; should be routed for referral and not ordinary mediation.</x:v>
      </x:c>
      <x:c r="J19" s="13" t="str">
        <x:v>Refer</x:v>
      </x:c>
      <x:c r="K19" s="13" t="str">
        <x:v>REFER_VAWC_CHILD_PROTECTION</x:v>
      </x:c>
      <x:c r="L19" s="13" t="str">
        <x:v>Not KP; mandatory safety referral screening</x:v>
      </x:c>
      <x:c r="M19" s="13" t="str">
        <x:v>Refer to VAWC desk/CSWDO/PNP/proper authority; do not mediate as ordinary KP case</x:v>
      </x:c>
      <x:c r="N19" s="13" t="str">
        <x:v>Protected-person or child-safety issue requires referral.</x:v>
      </x:c>
      <x:c r="O19" s="13" t="str"/>
      <x:c r="P19" s="13" t="str">
        <x:v>Ulat ng harassment sa menor de edad</x:v>
      </x:c>
      <x:c r="Q19" s="13" t="str">
        <x:v>Added to balance 'VAWC/child abuse' to 49 examples using the same Justice KP label schema.</x:v>
      </x:c>
      <x:c r="R19" s="13" t="str">
        <x:v>Synthetic row based on category coverage gap from uploaded PDF</x:v>
      </x:c>
    </x:row>
    <x:row r="20" ht="36" customHeight="1">
      <x:c r="A20" s="13" t="str">
        <x:v>SYN-VACC-016</x:v>
      </x:c>
      <x:c r="B20" s="13" t="str">
        <x:v>VAWC/child abuse</x:v>
      </x:c>
      <x:c r="C20" s="13" t="str">
        <x:v>Synthetic</x:v>
      </x:c>
      <x:c r="D20" s="13" t="str"/>
      <x:c r="E20" s="13" t="str">
        <x:v>Referral</x:v>
      </x:c>
      <x:c r="F20" s="13" t="str">
        <x:v>Paghingi ng referral para sa child-protection concern</x:v>
      </x:c>
      <x:c r="G20" s="13" t="str">
        <x:v>February 22, 2026</x:v>
      </x:c>
      <x:c r="H20" s="13" t="str">
        <x:v>-</x:v>
      </x:c>
      <x:c r="I20" s="13" t="str">
        <x:v>Synthetic example: protected-person/child-safety concern; should be routed for referral and not ordinary mediation.</x:v>
      </x:c>
      <x:c r="J20" s="13" t="str">
        <x:v>Refer</x:v>
      </x:c>
      <x:c r="K20" s="13" t="str">
        <x:v>REFER_VAWC_CHILD_PROTECTION</x:v>
      </x:c>
      <x:c r="L20" s="13" t="str">
        <x:v>Not KP; mandatory safety referral screening</x:v>
      </x:c>
      <x:c r="M20" s="13" t="str">
        <x:v>Refer to VAWC desk/CSWDO/PNP/proper authority; do not mediate as ordinary KP case</x:v>
      </x:c>
      <x:c r="N20" s="13" t="str">
        <x:v>Protected-person or child-safety issue requires referral.</x:v>
      </x:c>
      <x:c r="O20" s="13" t="str"/>
      <x:c r="P20" s="13" t="str">
        <x:v>Paghingi ng referral para sa child-protection concern</x:v>
      </x:c>
      <x:c r="Q20" s="13" t="str">
        <x:v>Added to balance 'VAWC/child abuse' to 49 examples using the same Justice KP label schema.</x:v>
      </x:c>
      <x:c r="R20" s="13" t="str">
        <x:v>Synthetic row based on category coverage gap from uploaded PDF</x:v>
      </x:c>
    </x:row>
    <x:row r="21" ht="36" customHeight="1">
      <x:c r="A21" s="13" t="str">
        <x:v>SYN-VACC-017</x:v>
      </x:c>
      <x:c r="B21" s="13" t="str">
        <x:v>VAWC/child abuse</x:v>
      </x:c>
      <x:c r="C21" s="13" t="str">
        <x:v>Synthetic</x:v>
      </x:c>
      <x:c r="D21" s="13" t="str"/>
      <x:c r="E21" s="13" t="str">
        <x:v>Referral</x:v>
      </x:c>
      <x:c r="F21" s="13" t="str">
        <x:v>Reklamo sa paulit-ulit na pananakot sa babae sa loob ng bahay</x:v>
      </x:c>
      <x:c r="G21" s="13" t="str">
        <x:v>February 25, 2026</x:v>
      </x:c>
      <x:c r="H21" s="13" t="str">
        <x:v>-</x:v>
      </x:c>
      <x:c r="I21" s="13" t="str">
        <x:v>Synthetic example: protected-person/child-safety concern; should be routed for referral and not ordinary mediation.</x:v>
      </x:c>
      <x:c r="J21" s="13" t="str">
        <x:v>Refer</x:v>
      </x:c>
      <x:c r="K21" s="13" t="str">
        <x:v>REFER_VAWC_CHILD_PROTECTION</x:v>
      </x:c>
      <x:c r="L21" s="13" t="str">
        <x:v>Not KP; mandatory safety referral screening</x:v>
      </x:c>
      <x:c r="M21" s="13" t="str">
        <x:v>Refer to VAWC desk/CSWDO/PNP/proper authority; do not mediate as ordinary KP case</x:v>
      </x:c>
      <x:c r="N21" s="13" t="str">
        <x:v>Protected-person or child-safety issue requires referral.</x:v>
      </x:c>
      <x:c r="O21" s="13" t="str"/>
      <x:c r="P21" s="13" t="str">
        <x:v>Reklamo sa paulit-ulit na pananakot sa babae sa loob ng bahay</x:v>
      </x:c>
      <x:c r="Q21" s="13" t="str">
        <x:v>Added to balance 'VAWC/child abuse' to 49 examples using the same Justice KP label schema.</x:v>
      </x:c>
      <x:c r="R21" s="13" t="str">
        <x:v>Synthetic row based on category coverage gap from uploaded PDF</x:v>
      </x:c>
    </x:row>
    <x:row r="22" ht="36" customHeight="1">
      <x:c r="A22" s="13" t="str">
        <x:v>SYN-VACC-018</x:v>
      </x:c>
      <x:c r="B22" s="13" t="str">
        <x:v>VAWC/child abuse</x:v>
      </x:c>
      <x:c r="C22" s="13" t="str">
        <x:v>Synthetic</x:v>
      </x:c>
      <x:c r="D22" s="13" t="str"/>
      <x:c r="E22" s="13" t="str">
        <x:v>Referral</x:v>
      </x:c>
      <x:c r="F22" s="13" t="str">
        <x:v>Ulat ng kapitbahay tungkol sa posibleng child abuse</x:v>
      </x:c>
      <x:c r="G22" s="13" t="str">
        <x:v>February 28, 2026</x:v>
      </x:c>
      <x:c r="H22" s="13" t="str">
        <x:v>-</x:v>
      </x:c>
      <x:c r="I22" s="13" t="str">
        <x:v>Synthetic example: protected-person/child-safety concern; should be routed for referral and not ordinary mediation.</x:v>
      </x:c>
      <x:c r="J22" s="13" t="str">
        <x:v>Refer</x:v>
      </x:c>
      <x:c r="K22" s="13" t="str">
        <x:v>REFER_VAWC_CHILD_PROTECTION</x:v>
      </x:c>
      <x:c r="L22" s="13" t="str">
        <x:v>Not KP; mandatory safety referral screening</x:v>
      </x:c>
      <x:c r="M22" s="13" t="str">
        <x:v>Refer to VAWC desk/CSWDO/PNP/proper authority; do not mediate as ordinary KP case</x:v>
      </x:c>
      <x:c r="N22" s="13" t="str">
        <x:v>Protected-person or child-safety issue requires referral.</x:v>
      </x:c>
      <x:c r="O22" s="13" t="str"/>
      <x:c r="P22" s="13" t="str">
        <x:v>Ulat ng kapitbahay tungkol sa posibleng child abuse</x:v>
      </x:c>
      <x:c r="Q22" s="13" t="str">
        <x:v>Added to balance 'VAWC/child abuse' to 49 examples using the same Justice KP label schema.</x:v>
      </x:c>
      <x:c r="R22" s="13" t="str">
        <x:v>Synthetic row based on category coverage gap from uploaded PDF</x:v>
      </x:c>
    </x:row>
    <x:row r="23" ht="36" customHeight="1">
      <x:c r="A23" s="13" t="str">
        <x:v>SYN-VACC-019</x:v>
      </x:c>
      <x:c r="B23" s="13" t="str">
        <x:v>VAWC/child abuse</x:v>
      </x:c>
      <x:c r="C23" s="13" t="str">
        <x:v>Synthetic</x:v>
      </x:c>
      <x:c r="D23" s="13" t="str"/>
      <x:c r="E23" s="13" t="str">
        <x:v>Referral</x:v>
      </x:c>
      <x:c r="F23" s="13" t="str">
        <x:v>Paghingi ng tulong sa barangay dahil may banta sa anak</x:v>
      </x:c>
      <x:c r="G23" s="13" t="str">
        <x:v>March 3, 2026</x:v>
      </x:c>
      <x:c r="H23" s="13" t="str">
        <x:v>-</x:v>
      </x:c>
      <x:c r="I23" s="13" t="str">
        <x:v>Synthetic example: protected-person/child-safety concern; should be routed for referral and not ordinary mediation.</x:v>
      </x:c>
      <x:c r="J23" s="13" t="str">
        <x:v>Refer</x:v>
      </x:c>
      <x:c r="K23" s="13" t="str">
        <x:v>REFER_VAWC_CHILD_PROTECTION</x:v>
      </x:c>
      <x:c r="L23" s="13" t="str">
        <x:v>Not KP; mandatory safety referral screening</x:v>
      </x:c>
      <x:c r="M23" s="13" t="str">
        <x:v>Refer to VAWC desk/CSWDO/PNP/proper authority; do not mediate as ordinary KP case</x:v>
      </x:c>
      <x:c r="N23" s="13" t="str">
        <x:v>Protected-person or child-safety issue requires referral.</x:v>
      </x:c>
      <x:c r="O23" s="13" t="str"/>
      <x:c r="P23" s="13" t="str">
        <x:v>Paghingi ng tulong sa barangay dahil may banta sa anak</x:v>
      </x:c>
      <x:c r="Q23" s="13" t="str">
        <x:v>Added to balance 'VAWC/child abuse' to 49 examples using the same Justice KP label schema.</x:v>
      </x:c>
      <x:c r="R23" s="13" t="str">
        <x:v>Synthetic row based on category coverage gap from uploaded PDF</x:v>
      </x:c>
    </x:row>
    <x:row r="24" ht="36" customHeight="1">
      <x:c r="A24" s="13" t="str">
        <x:v>SYN-VACC-020</x:v>
      </x:c>
      <x:c r="B24" s="13" t="str">
        <x:v>VAWC/child abuse</x:v>
      </x:c>
      <x:c r="C24" s="13" t="str">
        <x:v>Synthetic</x:v>
      </x:c>
      <x:c r="D24" s="13" t="str"/>
      <x:c r="E24" s="13" t="str">
        <x:v>Referral</x:v>
      </x:c>
      <x:c r="F24" s="13" t="str">
        <x:v>Reklamo na may emotional abuse sa dating partner</x:v>
      </x:c>
      <x:c r="G24" s="13" t="str">
        <x:v>March 6, 2026</x:v>
      </x:c>
      <x:c r="H24" s="13" t="str">
        <x:v>-</x:v>
      </x:c>
      <x:c r="I24" s="13" t="str">
        <x:v>Synthetic example: protected-person/child-safety concern; should be routed for referral and not ordinary mediation.</x:v>
      </x:c>
      <x:c r="J24" s="13" t="str">
        <x:v>Refer</x:v>
      </x:c>
      <x:c r="K24" s="13" t="str">
        <x:v>REFER_VAWC_CHILD_PROTECTION</x:v>
      </x:c>
      <x:c r="L24" s="13" t="str">
        <x:v>Not KP; mandatory safety referral screening</x:v>
      </x:c>
      <x:c r="M24" s="13" t="str">
        <x:v>Refer to VAWC desk/CSWDO/PNP/proper authority; do not mediate as ordinary KP case</x:v>
      </x:c>
      <x:c r="N24" s="13" t="str">
        <x:v>Protected-person or child-safety issue requires referral.</x:v>
      </x:c>
      <x:c r="O24" s="13" t="str"/>
      <x:c r="P24" s="13" t="str">
        <x:v>Reklamo na may emotional abuse sa dating partner</x:v>
      </x:c>
      <x:c r="Q24" s="13" t="str">
        <x:v>Added to balance 'VAWC/child abuse' to 49 examples using the same Justice KP label schema.</x:v>
      </x:c>
      <x:c r="R24" s="13" t="str">
        <x:v>Synthetic row based on category coverage gap from uploaded PDF</x:v>
      </x:c>
    </x:row>
    <x:row r="25" ht="36" customHeight="1">
      <x:c r="A25" s="13" t="str">
        <x:v>SYN-VACC-021</x:v>
      </x:c>
      <x:c r="B25" s="13" t="str">
        <x:v>VAWC/child abuse</x:v>
      </x:c>
      <x:c r="C25" s="13" t="str">
        <x:v>Synthetic</x:v>
      </x:c>
      <x:c r="D25" s="13" t="str"/>
      <x:c r="E25" s="13" t="str">
        <x:v>Referral</x:v>
      </x:c>
      <x:c r="F25" s="13" t="str">
        <x:v>Reklamo na may pananakit sa bata sa loob ng tahanan</x:v>
      </x:c>
      <x:c r="G25" s="13" t="str">
        <x:v>March 9, 2026</x:v>
      </x:c>
      <x:c r="H25" s="13" t="str">
        <x:v>-</x:v>
      </x:c>
      <x:c r="I25" s="13" t="str">
        <x:v>Synthetic example: protected-person/child-safety concern; should be routed for referral and not ordinary mediation.</x:v>
      </x:c>
      <x:c r="J25" s="13" t="str">
        <x:v>Refer</x:v>
      </x:c>
      <x:c r="K25" s="13" t="str">
        <x:v>REFER_VAWC_CHILD_PROTECTION</x:v>
      </x:c>
      <x:c r="L25" s="13" t="str">
        <x:v>Not KP; mandatory safety referral screening</x:v>
      </x:c>
      <x:c r="M25" s="13" t="str">
        <x:v>Refer to VAWC desk/CSWDO/PNP/proper authority; do not mediate as ordinary KP case</x:v>
      </x:c>
      <x:c r="N25" s="13" t="str">
        <x:v>Protected-person or child-safety issue requires referral.</x:v>
      </x:c>
      <x:c r="O25" s="13" t="str"/>
      <x:c r="P25" s="13" t="str">
        <x:v>Reklamo na may pananakit sa bata sa loob ng tahanan</x:v>
      </x:c>
      <x:c r="Q25" s="13" t="str">
        <x:v>Added to balance 'VAWC/child abuse' to 49 examples using the same Justice KP label schema.</x:v>
      </x:c>
      <x:c r="R25" s="13" t="str">
        <x:v>Synthetic row based on category coverage gap from uploaded PDF</x:v>
      </x:c>
    </x:row>
    <x:row r="26" ht="36" customHeight="1">
      <x:c r="A26" s="13" t="str">
        <x:v>SYN-VACC-022</x:v>
      </x:c>
      <x:c r="B26" s="13" t="str">
        <x:v>VAWC/child abuse</x:v>
      </x:c>
      <x:c r="C26" s="13" t="str">
        <x:v>Synthetic</x:v>
      </x:c>
      <x:c r="D26" s="13" t="str"/>
      <x:c r="E26" s="13" t="str">
        <x:v>Referral</x:v>
      </x:c>
      <x:c r="F26" s="13" t="str">
        <x:v>Ulat tungkol sa pagbabanta laban sa dating kinakasama</x:v>
      </x:c>
      <x:c r="G26" s="13" t="str">
        <x:v>March 12, 2026</x:v>
      </x:c>
      <x:c r="H26" s="13" t="str">
        <x:v>-</x:v>
      </x:c>
      <x:c r="I26" s="13" t="str">
        <x:v>Synthetic example: protected-person/child-safety concern; should be routed for referral and not ordinary mediation.</x:v>
      </x:c>
      <x:c r="J26" s="13" t="str">
        <x:v>Refer</x:v>
      </x:c>
      <x:c r="K26" s="13" t="str">
        <x:v>REFER_VAWC_CHILD_PROTECTION</x:v>
      </x:c>
      <x:c r="L26" s="13" t="str">
        <x:v>Not KP; mandatory safety referral screening</x:v>
      </x:c>
      <x:c r="M26" s="13" t="str">
        <x:v>Refer to VAWC desk/CSWDO/PNP/proper authority; do not mediate as ordinary KP case</x:v>
      </x:c>
      <x:c r="N26" s="13" t="str">
        <x:v>Protected-person or child-safety issue requires referral.</x:v>
      </x:c>
      <x:c r="O26" s="13" t="str"/>
      <x:c r="P26" s="13" t="str">
        <x:v>Ulat tungkol sa pagbabanta laban sa dating kinakasama</x:v>
      </x:c>
      <x:c r="Q26" s="13" t="str">
        <x:v>Added to balance 'VAWC/child abuse' to 49 examples using the same Justice KP label schema.</x:v>
      </x:c>
      <x:c r="R26" s="13" t="str">
        <x:v>Synthetic row based on category coverage gap from uploaded PDF</x:v>
      </x:c>
    </x:row>
    <x:row r="27" ht="36" customHeight="1">
      <x:c r="A27" s="13" t="str">
        <x:v>SYN-VACC-023</x:v>
      </x:c>
      <x:c r="B27" s="13" t="str">
        <x:v>VAWC/child abuse</x:v>
      </x:c>
      <x:c r="C27" s="13" t="str">
        <x:v>Synthetic</x:v>
      </x:c>
      <x:c r="D27" s="13" t="str"/>
      <x:c r="E27" s="13" t="str">
        <x:v>Referral</x:v>
      </x:c>
      <x:c r="F27" s="13" t="str">
        <x:v>Paghingi ng tulong dahil may batang takot umuwi sa bahay</x:v>
      </x:c>
      <x:c r="G27" s="13" t="str">
        <x:v>March 15, 2026</x:v>
      </x:c>
      <x:c r="H27" s="13" t="str">
        <x:v>-</x:v>
      </x:c>
      <x:c r="I27" s="13" t="str">
        <x:v>Synthetic example: protected-person/child-safety concern; should be routed for referral and not ordinary mediation.</x:v>
      </x:c>
      <x:c r="J27" s="13" t="str">
        <x:v>Refer</x:v>
      </x:c>
      <x:c r="K27" s="13" t="str">
        <x:v>REFER_VAWC_CHILD_PROTECTION</x:v>
      </x:c>
      <x:c r="L27" s="13" t="str">
        <x:v>Not KP; mandatory safety referral screening</x:v>
      </x:c>
      <x:c r="M27" s="13" t="str">
        <x:v>Refer to VAWC desk/CSWDO/PNP/proper authority; do not mediate as ordinary KP case</x:v>
      </x:c>
      <x:c r="N27" s="13" t="str">
        <x:v>Protected-person or child-safety issue requires referral.</x:v>
      </x:c>
      <x:c r="O27" s="13" t="str"/>
      <x:c r="P27" s="13" t="str">
        <x:v>Paghingi ng tulong dahil may batang takot umuwi sa bahay</x:v>
      </x:c>
      <x:c r="Q27" s="13" t="str">
        <x:v>Added to balance 'VAWC/child abuse' to 49 examples using the same Justice KP label schema.</x:v>
      </x:c>
      <x:c r="R27" s="13" t="str">
        <x:v>Synthetic row based on category coverage gap from uploaded PDF</x:v>
      </x:c>
    </x:row>
    <x:row r="28" ht="36" customHeight="1">
      <x:c r="A28" s="13" t="str">
        <x:v>SYN-VACC-024</x:v>
      </x:c>
      <x:c r="B28" s="13" t="str">
        <x:v>VAWC/child abuse</x:v>
      </x:c>
      <x:c r="C28" s="13" t="str">
        <x:v>Synthetic</x:v>
      </x:c>
      <x:c r="D28" s="13" t="str"/>
      <x:c r="E28" s="13" t="str">
        <x:v>Referral</x:v>
      </x:c>
      <x:c r="F28" s="13" t="str">
        <x:v>Reklamo ng pananakit sa asawa o kinakasama</x:v>
      </x:c>
      <x:c r="G28" s="13" t="str">
        <x:v>March 18, 2026</x:v>
      </x:c>
      <x:c r="H28" s="13" t="str">
        <x:v>-</x:v>
      </x:c>
      <x:c r="I28" s="13" t="str">
        <x:v>Synthetic example: protected-person/child-safety concern; should be routed for referral and not ordinary mediation.</x:v>
      </x:c>
      <x:c r="J28" s="13" t="str">
        <x:v>Refer</x:v>
      </x:c>
      <x:c r="K28" s="13" t="str">
        <x:v>REFER_VAWC_CHILD_PROTECTION</x:v>
      </x:c>
      <x:c r="L28" s="13" t="str">
        <x:v>Not KP; mandatory safety referral screening</x:v>
      </x:c>
      <x:c r="M28" s="13" t="str">
        <x:v>Refer to VAWC desk/CSWDO/PNP/proper authority; do not mediate as ordinary KP case</x:v>
      </x:c>
      <x:c r="N28" s="13" t="str">
        <x:v>Protected-person or child-safety issue requires referral.</x:v>
      </x:c>
      <x:c r="O28" s="13" t="str"/>
      <x:c r="P28" s="13" t="str">
        <x:v>Reklamo ng pananakit sa asawa o kinakasama</x:v>
      </x:c>
      <x:c r="Q28" s="13" t="str">
        <x:v>Added to balance 'VAWC/child abuse' to 49 examples using the same Justice KP label schema.</x:v>
      </x:c>
      <x:c r="R28" s="13" t="str">
        <x:v>Synthetic row based on category coverage gap from uploaded PDF</x:v>
      </x:c>
    </x:row>
    <x:row r="29" ht="36" customHeight="1">
      <x:c r="A29" s="13" t="str">
        <x:v>SYN-VACC-025</x:v>
      </x:c>
      <x:c r="B29" s="13" t="str">
        <x:v>VAWC/child abuse</x:v>
      </x:c>
      <x:c r="C29" s="13" t="str">
        <x:v>Synthetic</x:v>
      </x:c>
      <x:c r="D29" s="13" t="str"/>
      <x:c r="E29" s="13" t="str">
        <x:v>Referral</x:v>
      </x:c>
      <x:c r="F29" s="13" t="str">
        <x:v>Ulat ng harassment sa menor de edad</x:v>
      </x:c>
      <x:c r="G29" s="13" t="str">
        <x:v>March 21, 2026</x:v>
      </x:c>
      <x:c r="H29" s="13" t="str">
        <x:v>-</x:v>
      </x:c>
      <x:c r="I29" s="13" t="str">
        <x:v>Synthetic example: protected-person/child-safety concern; should be routed for referral and not ordinary mediation.</x:v>
      </x:c>
      <x:c r="J29" s="13" t="str">
        <x:v>Refer</x:v>
      </x:c>
      <x:c r="K29" s="13" t="str">
        <x:v>REFER_VAWC_CHILD_PROTECTION</x:v>
      </x:c>
      <x:c r="L29" s="13" t="str">
        <x:v>Not KP; mandatory safety referral screening</x:v>
      </x:c>
      <x:c r="M29" s="13" t="str">
        <x:v>Refer to VAWC desk/CSWDO/PNP/proper authority; do not mediate as ordinary KP case</x:v>
      </x:c>
      <x:c r="N29" s="13" t="str">
        <x:v>Protected-person or child-safety issue requires referral.</x:v>
      </x:c>
      <x:c r="O29" s="13" t="str"/>
      <x:c r="P29" s="13" t="str">
        <x:v>Ulat ng harassment sa menor de edad</x:v>
      </x:c>
      <x:c r="Q29" s="13" t="str">
        <x:v>Added to balance 'VAWC/child abuse' to 49 examples using the same Justice KP label schema.</x:v>
      </x:c>
      <x:c r="R29" s="13" t="str">
        <x:v>Synthetic row based on category coverage gap from uploaded PDF</x:v>
      </x:c>
    </x:row>
    <x:row r="30" ht="36" customHeight="1">
      <x:c r="A30" s="13" t="str">
        <x:v>SYN-VACC-026</x:v>
      </x:c>
      <x:c r="B30" s="13" t="str">
        <x:v>VAWC/child abuse</x:v>
      </x:c>
      <x:c r="C30" s="13" t="str">
        <x:v>Synthetic</x:v>
      </x:c>
      <x:c r="D30" s="13" t="str"/>
      <x:c r="E30" s="13" t="str">
        <x:v>Referral</x:v>
      </x:c>
      <x:c r="F30" s="13" t="str">
        <x:v>Paghingi ng referral para sa child-protection concern</x:v>
      </x:c>
      <x:c r="G30" s="13" t="str">
        <x:v>March 24, 2026</x:v>
      </x:c>
      <x:c r="H30" s="13" t="str">
        <x:v>-</x:v>
      </x:c>
      <x:c r="I30" s="13" t="str">
        <x:v>Synthetic example: protected-person/child-safety concern; should be routed for referral and not ordinary mediation.</x:v>
      </x:c>
      <x:c r="J30" s="13" t="str">
        <x:v>Refer</x:v>
      </x:c>
      <x:c r="K30" s="13" t="str">
        <x:v>REFER_VAWC_CHILD_PROTECTION</x:v>
      </x:c>
      <x:c r="L30" s="13" t="str">
        <x:v>Not KP; mandatory safety referral screening</x:v>
      </x:c>
      <x:c r="M30" s="13" t="str">
        <x:v>Refer to VAWC desk/CSWDO/PNP/proper authority; do not mediate as ordinary KP case</x:v>
      </x:c>
      <x:c r="N30" s="13" t="str">
        <x:v>Protected-person or child-safety issue requires referral.</x:v>
      </x:c>
      <x:c r="O30" s="13" t="str"/>
      <x:c r="P30" s="13" t="str">
        <x:v>Paghingi ng referral para sa child-protection concern</x:v>
      </x:c>
      <x:c r="Q30" s="13" t="str">
        <x:v>Added to balance 'VAWC/child abuse' to 49 examples using the same Justice KP label schema.</x:v>
      </x:c>
      <x:c r="R30" s="13" t="str">
        <x:v>Synthetic row based on category coverage gap from uploaded PDF</x:v>
      </x:c>
    </x:row>
    <x:row r="31" ht="36" customHeight="1">
      <x:c r="A31" s="13" t="str">
        <x:v>SYN-VACC-027</x:v>
      </x:c>
      <x:c r="B31" s="13" t="str">
        <x:v>VAWC/child abuse</x:v>
      </x:c>
      <x:c r="C31" s="13" t="str">
        <x:v>Synthetic</x:v>
      </x:c>
      <x:c r="D31" s="13" t="str"/>
      <x:c r="E31" s="13" t="str">
        <x:v>Referral</x:v>
      </x:c>
      <x:c r="F31" s="13" t="str">
        <x:v>Reklamo sa paulit-ulit na pananakot sa babae sa loob ng bahay</x:v>
      </x:c>
      <x:c r="G31" s="13" t="str">
        <x:v>March 27, 2026</x:v>
      </x:c>
      <x:c r="H31" s="13" t="str">
        <x:v>-</x:v>
      </x:c>
      <x:c r="I31" s="13" t="str">
        <x:v>Synthetic example: protected-person/child-safety concern; should be routed for referral and not ordinary mediation.</x:v>
      </x:c>
      <x:c r="J31" s="13" t="str">
        <x:v>Refer</x:v>
      </x:c>
      <x:c r="K31" s="13" t="str">
        <x:v>REFER_VAWC_CHILD_PROTECTION</x:v>
      </x:c>
      <x:c r="L31" s="13" t="str">
        <x:v>Not KP; mandatory safety referral screening</x:v>
      </x:c>
      <x:c r="M31" s="13" t="str">
        <x:v>Refer to VAWC desk/CSWDO/PNP/proper authority; do not mediate as ordinary KP case</x:v>
      </x:c>
      <x:c r="N31" s="13" t="str">
        <x:v>Protected-person or child-safety issue requires referral.</x:v>
      </x:c>
      <x:c r="O31" s="13" t="str"/>
      <x:c r="P31" s="13" t="str">
        <x:v>Reklamo sa paulit-ulit na pananakot sa babae sa loob ng bahay</x:v>
      </x:c>
      <x:c r="Q31" s="13" t="str">
        <x:v>Added to balance 'VAWC/child abuse' to 49 examples using the same Justice KP label schema.</x:v>
      </x:c>
      <x:c r="R31" s="13" t="str">
        <x:v>Synthetic row based on category coverage gap from uploaded PDF</x:v>
      </x:c>
    </x:row>
    <x:row r="32" ht="36" customHeight="1">
      <x:c r="A32" s="13" t="str">
        <x:v>SYN-VACC-028</x:v>
      </x:c>
      <x:c r="B32" s="13" t="str">
        <x:v>VAWC/child abuse</x:v>
      </x:c>
      <x:c r="C32" s="13" t="str">
        <x:v>Synthetic</x:v>
      </x:c>
      <x:c r="D32" s="13" t="str"/>
      <x:c r="E32" s="13" t="str">
        <x:v>Referral</x:v>
      </x:c>
      <x:c r="F32" s="13" t="str">
        <x:v>Ulat ng kapitbahay tungkol sa posibleng child abuse</x:v>
      </x:c>
      <x:c r="G32" s="13" t="str">
        <x:v>March 30, 2026</x:v>
      </x:c>
      <x:c r="H32" s="13" t="str">
        <x:v>-</x:v>
      </x:c>
      <x:c r="I32" s="13" t="str">
        <x:v>Synthetic example: protected-person/child-safety concern; should be routed for referral and not ordinary mediation.</x:v>
      </x:c>
      <x:c r="J32" s="13" t="str">
        <x:v>Refer</x:v>
      </x:c>
      <x:c r="K32" s="13" t="str">
        <x:v>REFER_VAWC_CHILD_PROTECTION</x:v>
      </x:c>
      <x:c r="L32" s="13" t="str">
        <x:v>Not KP; mandatory safety referral screening</x:v>
      </x:c>
      <x:c r="M32" s="13" t="str">
        <x:v>Refer to VAWC desk/CSWDO/PNP/proper authority; do not mediate as ordinary KP case</x:v>
      </x:c>
      <x:c r="N32" s="13" t="str">
        <x:v>Protected-person or child-safety issue requires referral.</x:v>
      </x:c>
      <x:c r="O32" s="13" t="str"/>
      <x:c r="P32" s="13" t="str">
        <x:v>Ulat ng kapitbahay tungkol sa posibleng child abuse</x:v>
      </x:c>
      <x:c r="Q32" s="13" t="str">
        <x:v>Added to balance 'VAWC/child abuse' to 49 examples using the same Justice KP label schema.</x:v>
      </x:c>
      <x:c r="R32" s="13" t="str">
        <x:v>Synthetic row based on category coverage gap from uploaded PDF</x:v>
      </x:c>
    </x:row>
    <x:row r="33" ht="36" customHeight="1">
      <x:c r="A33" s="13" t="str">
        <x:v>SYN-VACC-029</x:v>
      </x:c>
      <x:c r="B33" s="13" t="str">
        <x:v>VAWC/child abuse</x:v>
      </x:c>
      <x:c r="C33" s="13" t="str">
        <x:v>Synthetic</x:v>
      </x:c>
      <x:c r="D33" s="13" t="str"/>
      <x:c r="E33" s="13" t="str">
        <x:v>Referral</x:v>
      </x:c>
      <x:c r="F33" s="13" t="str">
        <x:v>Paghingi ng tulong sa barangay dahil may banta sa anak</x:v>
      </x:c>
      <x:c r="G33" s="13" t="str">
        <x:v>April 2, 2026</x:v>
      </x:c>
      <x:c r="H33" s="13" t="str">
        <x:v>-</x:v>
      </x:c>
      <x:c r="I33" s="13" t="str">
        <x:v>Synthetic example: protected-person/child-safety concern; should be routed for referral and not ordinary mediation.</x:v>
      </x:c>
      <x:c r="J33" s="13" t="str">
        <x:v>Refer</x:v>
      </x:c>
      <x:c r="K33" s="13" t="str">
        <x:v>REFER_VAWC_CHILD_PROTECTION</x:v>
      </x:c>
      <x:c r="L33" s="13" t="str">
        <x:v>Not KP; mandatory safety referral screening</x:v>
      </x:c>
      <x:c r="M33" s="13" t="str">
        <x:v>Refer to VAWC desk/CSWDO/PNP/proper authority; do not mediate as ordinary KP case</x:v>
      </x:c>
      <x:c r="N33" s="13" t="str">
        <x:v>Protected-person or child-safety issue requires referral.</x:v>
      </x:c>
      <x:c r="O33" s="13" t="str"/>
      <x:c r="P33" s="13" t="str">
        <x:v>Paghingi ng tulong sa barangay dahil may banta sa anak</x:v>
      </x:c>
      <x:c r="Q33" s="13" t="str">
        <x:v>Added to balance 'VAWC/child abuse' to 49 examples using the same Justice KP label schema.</x:v>
      </x:c>
      <x:c r="R33" s="13" t="str">
        <x:v>Synthetic row based on category coverage gap from uploaded PDF</x:v>
      </x:c>
    </x:row>
    <x:row r="34" ht="36" customHeight="1">
      <x:c r="A34" s="13" t="str">
        <x:v>SYN-VACC-030</x:v>
      </x:c>
      <x:c r="B34" s="13" t="str">
        <x:v>VAWC/child abuse</x:v>
      </x:c>
      <x:c r="C34" s="13" t="str">
        <x:v>Synthetic</x:v>
      </x:c>
      <x:c r="D34" s="13" t="str"/>
      <x:c r="E34" s="13" t="str">
        <x:v>Referral</x:v>
      </x:c>
      <x:c r="F34" s="13" t="str">
        <x:v>Reklamo na may emotional abuse sa dating partner</x:v>
      </x:c>
      <x:c r="G34" s="13" t="str">
        <x:v>April 5, 2026</x:v>
      </x:c>
      <x:c r="H34" s="13" t="str">
        <x:v>-</x:v>
      </x:c>
      <x:c r="I34" s="13" t="str">
        <x:v>Synthetic example: protected-person/child-safety concern; should be routed for referral and not ordinary mediation.</x:v>
      </x:c>
      <x:c r="J34" s="13" t="str">
        <x:v>Refer</x:v>
      </x:c>
      <x:c r="K34" s="13" t="str">
        <x:v>REFER_VAWC_CHILD_PROTECTION</x:v>
      </x:c>
      <x:c r="L34" s="13" t="str">
        <x:v>Not KP; mandatory safety referral screening</x:v>
      </x:c>
      <x:c r="M34" s="13" t="str">
        <x:v>Refer to VAWC desk/CSWDO/PNP/proper authority; do not mediate as ordinary KP case</x:v>
      </x:c>
      <x:c r="N34" s="13" t="str">
        <x:v>Protected-person or child-safety issue requires referral.</x:v>
      </x:c>
      <x:c r="O34" s="13" t="str"/>
      <x:c r="P34" s="13" t="str">
        <x:v>Reklamo na may emotional abuse sa dating partner</x:v>
      </x:c>
      <x:c r="Q34" s="13" t="str">
        <x:v>Added to balance 'VAWC/child abuse' to 49 examples using the same Justice KP label schema.</x:v>
      </x:c>
      <x:c r="R34" s="13" t="str">
        <x:v>Synthetic row based on category coverage gap from uploaded PDF</x:v>
      </x:c>
    </x:row>
    <x:row r="35" ht="36" customHeight="1">
      <x:c r="A35" s="13" t="str">
        <x:v>SYN-VACC-031</x:v>
      </x:c>
      <x:c r="B35" s="13" t="str">
        <x:v>VAWC/child abuse</x:v>
      </x:c>
      <x:c r="C35" s="13" t="str">
        <x:v>Synthetic</x:v>
      </x:c>
      <x:c r="D35" s="13" t="str"/>
      <x:c r="E35" s="13" t="str">
        <x:v>Referral</x:v>
      </x:c>
      <x:c r="F35" s="13" t="str">
        <x:v>Reklamo na may pananakit sa bata sa loob ng tahanan</x:v>
      </x:c>
      <x:c r="G35" s="13" t="str">
        <x:v>April 8, 2026</x:v>
      </x:c>
      <x:c r="H35" s="13" t="str">
        <x:v>-</x:v>
      </x:c>
      <x:c r="I35" s="13" t="str">
        <x:v>Synthetic example: protected-person/child-safety concern; should be routed for referral and not ordinary mediation.</x:v>
      </x:c>
      <x:c r="J35" s="13" t="str">
        <x:v>Refer</x:v>
      </x:c>
      <x:c r="K35" s="13" t="str">
        <x:v>REFER_VAWC_CHILD_PROTECTION</x:v>
      </x:c>
      <x:c r="L35" s="13" t="str">
        <x:v>Not KP; mandatory safety referral screening</x:v>
      </x:c>
      <x:c r="M35" s="13" t="str">
        <x:v>Refer to VAWC desk/CSWDO/PNP/proper authority; do not mediate as ordinary KP case</x:v>
      </x:c>
      <x:c r="N35" s="13" t="str">
        <x:v>Protected-person or child-safety issue requires referral.</x:v>
      </x:c>
      <x:c r="O35" s="13" t="str"/>
      <x:c r="P35" s="13" t="str">
        <x:v>Reklamo na may pananakit sa bata sa loob ng tahanan</x:v>
      </x:c>
      <x:c r="Q35" s="13" t="str">
        <x:v>Added to balance 'VAWC/child abuse' to 49 examples using the same Justice KP label schema.</x:v>
      </x:c>
      <x:c r="R35" s="13" t="str">
        <x:v>Synthetic row based on category coverage gap from uploaded PDF</x:v>
      </x:c>
    </x:row>
    <x:row r="36" ht="36" customHeight="1">
      <x:c r="A36" s="13" t="str">
        <x:v>SYN-VACC-032</x:v>
      </x:c>
      <x:c r="B36" s="13" t="str">
        <x:v>VAWC/child abuse</x:v>
      </x:c>
      <x:c r="C36" s="13" t="str">
        <x:v>Synthetic</x:v>
      </x:c>
      <x:c r="D36" s="13" t="str"/>
      <x:c r="E36" s="13" t="str">
        <x:v>Referral</x:v>
      </x:c>
      <x:c r="F36" s="13" t="str">
        <x:v>Ulat tungkol sa pagbabanta laban sa dating kinakasama</x:v>
      </x:c>
      <x:c r="G36" s="13" t="str">
        <x:v>April 11, 2026</x:v>
      </x:c>
      <x:c r="H36" s="13" t="str">
        <x:v>-</x:v>
      </x:c>
      <x:c r="I36" s="13" t="str">
        <x:v>Synthetic example: protected-person/child-safety concern; should be routed for referral and not ordinary mediation.</x:v>
      </x:c>
      <x:c r="J36" s="13" t="str">
        <x:v>Refer</x:v>
      </x:c>
      <x:c r="K36" s="13" t="str">
        <x:v>REFER_VAWC_CHILD_PROTECTION</x:v>
      </x:c>
      <x:c r="L36" s="13" t="str">
        <x:v>Not KP; mandatory safety referral screening</x:v>
      </x:c>
      <x:c r="M36" s="13" t="str">
        <x:v>Refer to VAWC desk/CSWDO/PNP/proper authority; do not mediate as ordinary KP case</x:v>
      </x:c>
      <x:c r="N36" s="13" t="str">
        <x:v>Protected-person or child-safety issue requires referral.</x:v>
      </x:c>
      <x:c r="O36" s="13" t="str"/>
      <x:c r="P36" s="13" t="str">
        <x:v>Ulat tungkol sa pagbabanta laban sa dating kinakasama</x:v>
      </x:c>
      <x:c r="Q36" s="13" t="str">
        <x:v>Added to balance 'VAWC/child abuse' to 49 examples using the same Justice KP label schema.</x:v>
      </x:c>
      <x:c r="R36" s="13" t="str">
        <x:v>Synthetic row based on category coverage gap from uploaded PDF</x:v>
      </x:c>
    </x:row>
    <x:row r="37" ht="36" customHeight="1">
      <x:c r="A37" s="13" t="str">
        <x:v>SYN-VACC-033</x:v>
      </x:c>
      <x:c r="B37" s="13" t="str">
        <x:v>VAWC/child abuse</x:v>
      </x:c>
      <x:c r="C37" s="13" t="str">
        <x:v>Synthetic</x:v>
      </x:c>
      <x:c r="D37" s="13" t="str"/>
      <x:c r="E37" s="13" t="str">
        <x:v>Referral</x:v>
      </x:c>
      <x:c r="F37" s="13" t="str">
        <x:v>Paghingi ng tulong dahil may batang takot umuwi sa bahay</x:v>
      </x:c>
      <x:c r="G37" s="13" t="str">
        <x:v>April 14, 2026</x:v>
      </x:c>
      <x:c r="H37" s="13" t="str">
        <x:v>-</x:v>
      </x:c>
      <x:c r="I37" s="13" t="str">
        <x:v>Synthetic example: protected-person/child-safety concern; should be routed for referral and not ordinary mediation.</x:v>
      </x:c>
      <x:c r="J37" s="13" t="str">
        <x:v>Refer</x:v>
      </x:c>
      <x:c r="K37" s="13" t="str">
        <x:v>REFER_VAWC_CHILD_PROTECTION</x:v>
      </x:c>
      <x:c r="L37" s="13" t="str">
        <x:v>Not KP; mandatory safety referral screening</x:v>
      </x:c>
      <x:c r="M37" s="13" t="str">
        <x:v>Refer to VAWC desk/CSWDO/PNP/proper authority; do not mediate as ordinary KP case</x:v>
      </x:c>
      <x:c r="N37" s="13" t="str">
        <x:v>Protected-person or child-safety issue requires referral.</x:v>
      </x:c>
      <x:c r="O37" s="13" t="str"/>
      <x:c r="P37" s="13" t="str">
        <x:v>Paghingi ng tulong dahil may batang takot umuwi sa bahay</x:v>
      </x:c>
      <x:c r="Q37" s="13" t="str">
        <x:v>Added to balance 'VAWC/child abuse' to 49 examples using the same Justice KP label schema.</x:v>
      </x:c>
      <x:c r="R37" s="13" t="str">
        <x:v>Synthetic row based on category coverage gap from uploaded PDF</x:v>
      </x:c>
    </x:row>
    <x:row r="38" ht="36" customHeight="1">
      <x:c r="A38" s="13" t="str">
        <x:v>SYN-VACC-034</x:v>
      </x:c>
      <x:c r="B38" s="13" t="str">
        <x:v>VAWC/child abuse</x:v>
      </x:c>
      <x:c r="C38" s="13" t="str">
        <x:v>Synthetic</x:v>
      </x:c>
      <x:c r="D38" s="13" t="str"/>
      <x:c r="E38" s="13" t="str">
        <x:v>Referral</x:v>
      </x:c>
      <x:c r="F38" s="13" t="str">
        <x:v>Reklamo ng pananakit sa asawa o kinakasama</x:v>
      </x:c>
      <x:c r="G38" s="13" t="str">
        <x:v>April 17, 2026</x:v>
      </x:c>
      <x:c r="H38" s="13" t="str">
        <x:v>-</x:v>
      </x:c>
      <x:c r="I38" s="13" t="str">
        <x:v>Synthetic example: protected-person/child-safety concern; should be routed for referral and not ordinary mediation.</x:v>
      </x:c>
      <x:c r="J38" s="13" t="str">
        <x:v>Refer</x:v>
      </x:c>
      <x:c r="K38" s="13" t="str">
        <x:v>REFER_VAWC_CHILD_PROTECTION</x:v>
      </x:c>
      <x:c r="L38" s="13" t="str">
        <x:v>Not KP; mandatory safety referral screening</x:v>
      </x:c>
      <x:c r="M38" s="13" t="str">
        <x:v>Refer to VAWC desk/CSWDO/PNP/proper authority; do not mediate as ordinary KP case</x:v>
      </x:c>
      <x:c r="N38" s="13" t="str">
        <x:v>Protected-person or child-safety issue requires referral.</x:v>
      </x:c>
      <x:c r="O38" s="13" t="str"/>
      <x:c r="P38" s="13" t="str">
        <x:v>Reklamo ng pananakit sa asawa o kinakasama</x:v>
      </x:c>
      <x:c r="Q38" s="13" t="str">
        <x:v>Added to balance 'VAWC/child abuse' to 49 examples using the same Justice KP label schema.</x:v>
      </x:c>
      <x:c r="R38" s="13" t="str">
        <x:v>Synthetic row based on category coverage gap from uploaded PDF</x:v>
      </x:c>
    </x:row>
    <x:row r="39" ht="36" customHeight="1">
      <x:c r="A39" s="13" t="str">
        <x:v>SYN-VACC-035</x:v>
      </x:c>
      <x:c r="B39" s="13" t="str">
        <x:v>VAWC/child abuse</x:v>
      </x:c>
      <x:c r="C39" s="13" t="str">
        <x:v>Synthetic</x:v>
      </x:c>
      <x:c r="D39" s="13" t="str"/>
      <x:c r="E39" s="13" t="str">
        <x:v>Referral</x:v>
      </x:c>
      <x:c r="F39" s="13" t="str">
        <x:v>Ulat ng harassment sa menor de edad</x:v>
      </x:c>
      <x:c r="G39" s="13" t="str">
        <x:v>April 20, 2026</x:v>
      </x:c>
      <x:c r="H39" s="13" t="str">
        <x:v>-</x:v>
      </x:c>
      <x:c r="I39" s="13" t="str">
        <x:v>Synthetic example: protected-person/child-safety concern; should be routed for referral and not ordinary mediation.</x:v>
      </x:c>
      <x:c r="J39" s="13" t="str">
        <x:v>Refer</x:v>
      </x:c>
      <x:c r="K39" s="13" t="str">
        <x:v>REFER_VAWC_CHILD_PROTECTION</x:v>
      </x:c>
      <x:c r="L39" s="13" t="str">
        <x:v>Not KP; mandatory safety referral screening</x:v>
      </x:c>
      <x:c r="M39" s="13" t="str">
        <x:v>Refer to VAWC desk/CSWDO/PNP/proper authority; do not mediate as ordinary KP case</x:v>
      </x:c>
      <x:c r="N39" s="13" t="str">
        <x:v>Protected-person or child-safety issue requires referral.</x:v>
      </x:c>
      <x:c r="O39" s="13" t="str"/>
      <x:c r="P39" s="13" t="str">
        <x:v>Ulat ng harassment sa menor de edad</x:v>
      </x:c>
      <x:c r="Q39" s="13" t="str">
        <x:v>Added to balance 'VAWC/child abuse' to 49 examples using the same Justice KP label schema.</x:v>
      </x:c>
      <x:c r="R39" s="13" t="str">
        <x:v>Synthetic row based on category coverage gap from uploaded PDF</x:v>
      </x:c>
    </x:row>
    <x:row r="40" ht="36" customHeight="1">
      <x:c r="A40" s="13" t="str">
        <x:v>SYN-VACC-036</x:v>
      </x:c>
      <x:c r="B40" s="13" t="str">
        <x:v>VAWC/child abuse</x:v>
      </x:c>
      <x:c r="C40" s="13" t="str">
        <x:v>Synthetic</x:v>
      </x:c>
      <x:c r="D40" s="13" t="str"/>
      <x:c r="E40" s="13" t="str">
        <x:v>Referral</x:v>
      </x:c>
      <x:c r="F40" s="13" t="str">
        <x:v>Paghingi ng referral para sa child-protection concern</x:v>
      </x:c>
      <x:c r="G40" s="13" t="str">
        <x:v>April 23, 2026</x:v>
      </x:c>
      <x:c r="H40" s="13" t="str">
        <x:v>-</x:v>
      </x:c>
      <x:c r="I40" s="13" t="str">
        <x:v>Synthetic example: protected-person/child-safety concern; should be routed for referral and not ordinary mediation.</x:v>
      </x:c>
      <x:c r="J40" s="13" t="str">
        <x:v>Refer</x:v>
      </x:c>
      <x:c r="K40" s="13" t="str">
        <x:v>REFER_VAWC_CHILD_PROTECTION</x:v>
      </x:c>
      <x:c r="L40" s="13" t="str">
        <x:v>Not KP; mandatory safety referral screening</x:v>
      </x:c>
      <x:c r="M40" s="13" t="str">
        <x:v>Refer to VAWC desk/CSWDO/PNP/proper authority; do not mediate as ordinary KP case</x:v>
      </x:c>
      <x:c r="N40" s="13" t="str">
        <x:v>Protected-person or child-safety issue requires referral.</x:v>
      </x:c>
      <x:c r="O40" s="13" t="str"/>
      <x:c r="P40" s="13" t="str">
        <x:v>Paghingi ng referral para sa child-protection concern</x:v>
      </x:c>
      <x:c r="Q40" s="13" t="str">
        <x:v>Added to balance 'VAWC/child abuse' to 49 examples using the same Justice KP label schema.</x:v>
      </x:c>
      <x:c r="R40" s="13" t="str">
        <x:v>Synthetic row based on category coverage gap from uploaded PDF</x:v>
      </x:c>
    </x:row>
    <x:row r="41" ht="36" customHeight="1">
      <x:c r="A41" s="13" t="str">
        <x:v>SYN-VACC-037</x:v>
      </x:c>
      <x:c r="B41" s="13" t="str">
        <x:v>VAWC/child abuse</x:v>
      </x:c>
      <x:c r="C41" s="13" t="str">
        <x:v>Synthetic</x:v>
      </x:c>
      <x:c r="D41" s="13" t="str"/>
      <x:c r="E41" s="13" t="str">
        <x:v>Referral</x:v>
      </x:c>
      <x:c r="F41" s="13" t="str">
        <x:v>Reklamo sa paulit-ulit na pananakot sa babae sa loob ng bahay</x:v>
      </x:c>
      <x:c r="G41" s="13" t="str">
        <x:v>April 26, 2026</x:v>
      </x:c>
      <x:c r="H41" s="13" t="str">
        <x:v>-</x:v>
      </x:c>
      <x:c r="I41" s="13" t="str">
        <x:v>Synthetic example: protected-person/child-safety concern; should be routed for referral and not ordinary mediation.</x:v>
      </x:c>
      <x:c r="J41" s="13" t="str">
        <x:v>Refer</x:v>
      </x:c>
      <x:c r="K41" s="13" t="str">
        <x:v>REFER_VAWC_CHILD_PROTECTION</x:v>
      </x:c>
      <x:c r="L41" s="13" t="str">
        <x:v>Not KP; mandatory safety referral screening</x:v>
      </x:c>
      <x:c r="M41" s="13" t="str">
        <x:v>Refer to VAWC desk/CSWDO/PNP/proper authority; do not mediate as ordinary KP case</x:v>
      </x:c>
      <x:c r="N41" s="13" t="str">
        <x:v>Protected-person or child-safety issue requires referral.</x:v>
      </x:c>
      <x:c r="O41" s="13" t="str"/>
      <x:c r="P41" s="13" t="str">
        <x:v>Reklamo sa paulit-ulit na pananakot sa babae sa loob ng bahay</x:v>
      </x:c>
      <x:c r="Q41" s="13" t="str">
        <x:v>Added to balance 'VAWC/child abuse' to 49 examples using the same Justice KP label schema.</x:v>
      </x:c>
      <x:c r="R41" s="13" t="str">
        <x:v>Synthetic row based on category coverage gap from uploaded PDF</x:v>
      </x:c>
    </x:row>
    <x:row r="42" ht="36" customHeight="1">
      <x:c r="A42" s="13" t="str">
        <x:v>SYN-VACC-038</x:v>
      </x:c>
      <x:c r="B42" s="13" t="str">
        <x:v>VAWC/child abuse</x:v>
      </x:c>
      <x:c r="C42" s="13" t="str">
        <x:v>Synthetic</x:v>
      </x:c>
      <x:c r="D42" s="13" t="str"/>
      <x:c r="E42" s="13" t="str">
        <x:v>Referral</x:v>
      </x:c>
      <x:c r="F42" s="13" t="str">
        <x:v>Ulat ng kapitbahay tungkol sa posibleng child abuse</x:v>
      </x:c>
      <x:c r="G42" s="13" t="str">
        <x:v>April 29, 2026</x:v>
      </x:c>
      <x:c r="H42" s="13" t="str">
        <x:v>-</x:v>
      </x:c>
      <x:c r="I42" s="13" t="str">
        <x:v>Synthetic example: protected-person/child-safety concern; should be routed for referral and not ordinary mediation.</x:v>
      </x:c>
      <x:c r="J42" s="13" t="str">
        <x:v>Refer</x:v>
      </x:c>
      <x:c r="K42" s="13" t="str">
        <x:v>REFER_VAWC_CHILD_PROTECTION</x:v>
      </x:c>
      <x:c r="L42" s="13" t="str">
        <x:v>Not KP; mandatory safety referral screening</x:v>
      </x:c>
      <x:c r="M42" s="13" t="str">
        <x:v>Refer to VAWC desk/CSWDO/PNP/proper authority; do not mediate as ordinary KP case</x:v>
      </x:c>
      <x:c r="N42" s="13" t="str">
        <x:v>Protected-person or child-safety issue requires referral.</x:v>
      </x:c>
      <x:c r="O42" s="13" t="str"/>
      <x:c r="P42" s="13" t="str">
        <x:v>Ulat ng kapitbahay tungkol sa posibleng child abuse</x:v>
      </x:c>
      <x:c r="Q42" s="13" t="str">
        <x:v>Added to balance 'VAWC/child abuse' to 49 examples using the same Justice KP label schema.</x:v>
      </x:c>
      <x:c r="R42" s="13" t="str">
        <x:v>Synthetic row based on category coverage gap from uploaded PDF</x:v>
      </x:c>
    </x:row>
    <x:row r="43" ht="36" customHeight="1">
      <x:c r="A43" s="13" t="str">
        <x:v>SYN-VACC-039</x:v>
      </x:c>
      <x:c r="B43" s="13" t="str">
        <x:v>VAWC/child abuse</x:v>
      </x:c>
      <x:c r="C43" s="13" t="str">
        <x:v>Synthetic</x:v>
      </x:c>
      <x:c r="D43" s="13" t="str"/>
      <x:c r="E43" s="13" t="str">
        <x:v>Referral</x:v>
      </x:c>
      <x:c r="F43" s="13" t="str">
        <x:v>Paghingi ng tulong sa barangay dahil may banta sa anak</x:v>
      </x:c>
      <x:c r="G43" s="13" t="str">
        <x:v>May 2, 2026</x:v>
      </x:c>
      <x:c r="H43" s="13" t="str">
        <x:v>-</x:v>
      </x:c>
      <x:c r="I43" s="13" t="str">
        <x:v>Synthetic example: protected-person/child-safety concern; should be routed for referral and not ordinary mediation.</x:v>
      </x:c>
      <x:c r="J43" s="13" t="str">
        <x:v>Refer</x:v>
      </x:c>
      <x:c r="K43" s="13" t="str">
        <x:v>REFER_VAWC_CHILD_PROTECTION</x:v>
      </x:c>
      <x:c r="L43" s="13" t="str">
        <x:v>Not KP; mandatory safety referral screening</x:v>
      </x:c>
      <x:c r="M43" s="13" t="str">
        <x:v>Refer to VAWC desk/CSWDO/PNP/proper authority; do not mediate as ordinary KP case</x:v>
      </x:c>
      <x:c r="N43" s="13" t="str">
        <x:v>Protected-person or child-safety issue requires referral.</x:v>
      </x:c>
      <x:c r="O43" s="13" t="str"/>
      <x:c r="P43" s="13" t="str">
        <x:v>Paghingi ng tulong sa barangay dahil may banta sa anak</x:v>
      </x:c>
      <x:c r="Q43" s="13" t="str">
        <x:v>Added to balance 'VAWC/child abuse' to 49 examples using the same Justice KP label schema.</x:v>
      </x:c>
      <x:c r="R43" s="13" t="str">
        <x:v>Synthetic row based on category coverage gap from uploaded PDF</x:v>
      </x:c>
    </x:row>
    <x:row r="44" ht="36" customHeight="1">
      <x:c r="A44" s="13" t="str">
        <x:v>SYN-VACC-040</x:v>
      </x:c>
      <x:c r="B44" s="13" t="str">
        <x:v>VAWC/child abuse</x:v>
      </x:c>
      <x:c r="C44" s="13" t="str">
        <x:v>Synthetic</x:v>
      </x:c>
      <x:c r="D44" s="13" t="str"/>
      <x:c r="E44" s="13" t="str">
        <x:v>Referral</x:v>
      </x:c>
      <x:c r="F44" s="13" t="str">
        <x:v>Reklamo na may emotional abuse sa dating partner</x:v>
      </x:c>
      <x:c r="G44" s="13" t="str">
        <x:v>May 5, 2026</x:v>
      </x:c>
      <x:c r="H44" s="13" t="str">
        <x:v>-</x:v>
      </x:c>
      <x:c r="I44" s="13" t="str">
        <x:v>Synthetic example: protected-person/child-safety concern; should be routed for referral and not ordinary mediation.</x:v>
      </x:c>
      <x:c r="J44" s="13" t="str">
        <x:v>Refer</x:v>
      </x:c>
      <x:c r="K44" s="13" t="str">
        <x:v>REFER_VAWC_CHILD_PROTECTION</x:v>
      </x:c>
      <x:c r="L44" s="13" t="str">
        <x:v>Not KP; mandatory safety referral screening</x:v>
      </x:c>
      <x:c r="M44" s="13" t="str">
        <x:v>Refer to VAWC desk/CSWDO/PNP/proper authority; do not mediate as ordinary KP case</x:v>
      </x:c>
      <x:c r="N44" s="13" t="str">
        <x:v>Protected-person or child-safety issue requires referral.</x:v>
      </x:c>
      <x:c r="O44" s="13" t="str"/>
      <x:c r="P44" s="13" t="str">
        <x:v>Reklamo na may emotional abuse sa dating partner</x:v>
      </x:c>
      <x:c r="Q44" s="13" t="str">
        <x:v>Added to balance 'VAWC/child abuse' to 49 examples using the same Justice KP label schema.</x:v>
      </x:c>
      <x:c r="R44" s="13" t="str">
        <x:v>Synthetic row based on category coverage gap from uploaded PDF</x:v>
      </x:c>
    </x:row>
    <x:row r="45" ht="36" customHeight="1">
      <x:c r="A45" s="13" t="str">
        <x:v>SYN-VACC-041</x:v>
      </x:c>
      <x:c r="B45" s="13" t="str">
        <x:v>VAWC/child abuse</x:v>
      </x:c>
      <x:c r="C45" s="13" t="str">
        <x:v>Synthetic</x:v>
      </x:c>
      <x:c r="D45" s="13" t="str"/>
      <x:c r="E45" s="13" t="str">
        <x:v>Referral</x:v>
      </x:c>
      <x:c r="F45" s="13" t="str">
        <x:v>Reklamo na may pananakit sa bata sa loob ng tahanan</x:v>
      </x:c>
      <x:c r="G45" s="13" t="str">
        <x:v>May 8, 2026</x:v>
      </x:c>
      <x:c r="H45" s="13" t="str">
        <x:v>-</x:v>
      </x:c>
      <x:c r="I45" s="13" t="str">
        <x:v>Synthetic example: protected-person/child-safety concern; should be routed for referral and not ordinary mediation.</x:v>
      </x:c>
      <x:c r="J45" s="13" t="str">
        <x:v>Refer</x:v>
      </x:c>
      <x:c r="K45" s="13" t="str">
        <x:v>REFER_VAWC_CHILD_PROTECTION</x:v>
      </x:c>
      <x:c r="L45" s="13" t="str">
        <x:v>Not KP; mandatory safety referral screening</x:v>
      </x:c>
      <x:c r="M45" s="13" t="str">
        <x:v>Refer to VAWC desk/CSWDO/PNP/proper authority; do not mediate as ordinary KP case</x:v>
      </x:c>
      <x:c r="N45" s="13" t="str">
        <x:v>Protected-person or child-safety issue requires referral.</x:v>
      </x:c>
      <x:c r="O45" s="13" t="str"/>
      <x:c r="P45" s="13" t="str">
        <x:v>Reklamo na may pananakit sa bata sa loob ng tahanan</x:v>
      </x:c>
      <x:c r="Q45" s="13" t="str">
        <x:v>Added to balance 'VAWC/child abuse' to 49 examples using the same Justice KP label schema.</x:v>
      </x:c>
      <x:c r="R45" s="13" t="str">
        <x:v>Synthetic row based on category coverage gap from uploaded PDF</x:v>
      </x:c>
    </x:row>
    <x:row r="46" ht="36" customHeight="1">
      <x:c r="A46" s="13" t="str">
        <x:v>SYN-VACC-042</x:v>
      </x:c>
      <x:c r="B46" s="13" t="str">
        <x:v>VAWC/child abuse</x:v>
      </x:c>
      <x:c r="C46" s="13" t="str">
        <x:v>Synthetic</x:v>
      </x:c>
      <x:c r="D46" s="13" t="str"/>
      <x:c r="E46" s="13" t="str">
        <x:v>Referral</x:v>
      </x:c>
      <x:c r="F46" s="13" t="str">
        <x:v>Ulat tungkol sa pagbabanta laban sa dating kinakasama</x:v>
      </x:c>
      <x:c r="G46" s="13" t="str">
        <x:v>May 11, 2026</x:v>
      </x:c>
      <x:c r="H46" s="13" t="str">
        <x:v>-</x:v>
      </x:c>
      <x:c r="I46" s="13" t="str">
        <x:v>Synthetic example: protected-person/child-safety concern; should be routed for referral and not ordinary mediation.</x:v>
      </x:c>
      <x:c r="J46" s="13" t="str">
        <x:v>Refer</x:v>
      </x:c>
      <x:c r="K46" s="13" t="str">
        <x:v>REFER_VAWC_CHILD_PROTECTION</x:v>
      </x:c>
      <x:c r="L46" s="13" t="str">
        <x:v>Not KP; mandatory safety referral screening</x:v>
      </x:c>
      <x:c r="M46" s="13" t="str">
        <x:v>Refer to VAWC desk/CSWDO/PNP/proper authority; do not mediate as ordinary KP case</x:v>
      </x:c>
      <x:c r="N46" s="13" t="str">
        <x:v>Protected-person or child-safety issue requires referral.</x:v>
      </x:c>
      <x:c r="O46" s="13" t="str"/>
      <x:c r="P46" s="13" t="str">
        <x:v>Ulat tungkol sa pagbabanta laban sa dating kinakasama</x:v>
      </x:c>
      <x:c r="Q46" s="13" t="str">
        <x:v>Added to balance 'VAWC/child abuse' to 49 examples using the same Justice KP label schema.</x:v>
      </x:c>
      <x:c r="R46" s="13" t="str">
        <x:v>Synthetic row based on category coverage gap from uploaded PDF</x:v>
      </x:c>
    </x:row>
    <x:row r="47" ht="36" customHeight="1">
      <x:c r="A47" s="13" t="str">
        <x:v>SYN-VACC-043</x:v>
      </x:c>
      <x:c r="B47" s="13" t="str">
        <x:v>VAWC/child abuse</x:v>
      </x:c>
      <x:c r="C47" s="13" t="str">
        <x:v>Synthetic</x:v>
      </x:c>
      <x:c r="D47" s="13" t="str"/>
      <x:c r="E47" s="13" t="str">
        <x:v>Referral</x:v>
      </x:c>
      <x:c r="F47" s="13" t="str">
        <x:v>Paghingi ng tulong dahil may batang takot umuwi sa bahay</x:v>
      </x:c>
      <x:c r="G47" s="13" t="str">
        <x:v>May 14, 2026</x:v>
      </x:c>
      <x:c r="H47" s="13" t="str">
        <x:v>-</x:v>
      </x:c>
      <x:c r="I47" s="13" t="str">
        <x:v>Synthetic example: protected-person/child-safety concern; should be routed for referral and not ordinary mediation.</x:v>
      </x:c>
      <x:c r="J47" s="13" t="str">
        <x:v>Refer</x:v>
      </x:c>
      <x:c r="K47" s="13" t="str">
        <x:v>REFER_VAWC_CHILD_PROTECTION</x:v>
      </x:c>
      <x:c r="L47" s="13" t="str">
        <x:v>Not KP; mandatory safety referral screening</x:v>
      </x:c>
      <x:c r="M47" s="13" t="str">
        <x:v>Refer to VAWC desk/CSWDO/PNP/proper authority; do not mediate as ordinary KP case</x:v>
      </x:c>
      <x:c r="N47" s="13" t="str">
        <x:v>Protected-person or child-safety issue requires referral.</x:v>
      </x:c>
      <x:c r="O47" s="13" t="str"/>
      <x:c r="P47" s="13" t="str">
        <x:v>Paghingi ng tulong dahil may batang takot umuwi sa bahay</x:v>
      </x:c>
      <x:c r="Q47" s="13" t="str">
        <x:v>Added to balance 'VAWC/child abuse' to 49 examples using the same Justice KP label schema.</x:v>
      </x:c>
      <x:c r="R47" s="13" t="str">
        <x:v>Synthetic row based on category coverage gap from uploaded PDF</x:v>
      </x:c>
    </x:row>
    <x:row r="48" ht="36" customHeight="1">
      <x:c r="A48" s="13" t="str">
        <x:v>SYN-VACC-044</x:v>
      </x:c>
      <x:c r="B48" s="13" t="str">
        <x:v>VAWC/child abuse</x:v>
      </x:c>
      <x:c r="C48" s="13" t="str">
        <x:v>Synthetic</x:v>
      </x:c>
      <x:c r="D48" s="13" t="str"/>
      <x:c r="E48" s="13" t="str">
        <x:v>Referral</x:v>
      </x:c>
      <x:c r="F48" s="13" t="str">
        <x:v>Reklamo ng pananakit sa asawa o kinakasama</x:v>
      </x:c>
      <x:c r="G48" s="13" t="str">
        <x:v>May 17, 2026</x:v>
      </x:c>
      <x:c r="H48" s="13" t="str">
        <x:v>-</x:v>
      </x:c>
      <x:c r="I48" s="13" t="str">
        <x:v>Synthetic example: protected-person/child-safety concern; should be routed for referral and not ordinary mediation.</x:v>
      </x:c>
      <x:c r="J48" s="13" t="str">
        <x:v>Refer</x:v>
      </x:c>
      <x:c r="K48" s="13" t="str">
        <x:v>REFER_VAWC_CHILD_PROTECTION</x:v>
      </x:c>
      <x:c r="L48" s="13" t="str">
        <x:v>Not KP; mandatory safety referral screening</x:v>
      </x:c>
      <x:c r="M48" s="13" t="str">
        <x:v>Refer to VAWC desk/CSWDO/PNP/proper authority; do not mediate as ordinary KP case</x:v>
      </x:c>
      <x:c r="N48" s="13" t="str">
        <x:v>Protected-person or child-safety issue requires referral.</x:v>
      </x:c>
      <x:c r="O48" s="13" t="str"/>
      <x:c r="P48" s="13" t="str">
        <x:v>Reklamo ng pananakit sa asawa o kinakasama</x:v>
      </x:c>
      <x:c r="Q48" s="13" t="str">
        <x:v>Added to balance 'VAWC/child abuse' to 49 examples using the same Justice KP label schema.</x:v>
      </x:c>
      <x:c r="R48" s="13" t="str">
        <x:v>Synthetic row based on category coverage gap from uploaded PDF</x:v>
      </x:c>
    </x:row>
    <x:row r="49" ht="36" customHeight="1">
      <x:c r="A49" s="13" t="str">
        <x:v>SYN-VACC-045</x:v>
      </x:c>
      <x:c r="B49" s="13" t="str">
        <x:v>VAWC/child abuse</x:v>
      </x:c>
      <x:c r="C49" s="13" t="str">
        <x:v>Synthetic</x:v>
      </x:c>
      <x:c r="D49" s="13" t="str"/>
      <x:c r="E49" s="13" t="str">
        <x:v>Referral</x:v>
      </x:c>
      <x:c r="F49" s="13" t="str">
        <x:v>Ulat ng harassment sa menor de edad</x:v>
      </x:c>
      <x:c r="G49" s="13" t="str">
        <x:v>May 20, 2026</x:v>
      </x:c>
      <x:c r="H49" s="13" t="str">
        <x:v>-</x:v>
      </x:c>
      <x:c r="I49" s="13" t="str">
        <x:v>Synthetic example: protected-person/child-safety concern; should be routed for referral and not ordinary mediation.</x:v>
      </x:c>
      <x:c r="J49" s="13" t="str">
        <x:v>Refer</x:v>
      </x:c>
      <x:c r="K49" s="13" t="str">
        <x:v>REFER_VAWC_CHILD_PROTECTION</x:v>
      </x:c>
      <x:c r="L49" s="13" t="str">
        <x:v>Not KP; mandatory safety referral screening</x:v>
      </x:c>
      <x:c r="M49" s="13" t="str">
        <x:v>Refer to VAWC desk/CSWDO/PNP/proper authority; do not mediate as ordinary KP case</x:v>
      </x:c>
      <x:c r="N49" s="13" t="str">
        <x:v>Protected-person or child-safety issue requires referral.</x:v>
      </x:c>
      <x:c r="O49" s="13" t="str"/>
      <x:c r="P49" s="13" t="str">
        <x:v>Ulat ng harassment sa menor de edad</x:v>
      </x:c>
      <x:c r="Q49" s="13" t="str">
        <x:v>Added to balance 'VAWC/child abuse' to 49 examples using the same Justice KP label schema.</x:v>
      </x:c>
      <x:c r="R49" s="13" t="str">
        <x:v>Synthetic row based on category coverage gap from uploaded PDF</x:v>
      </x:c>
    </x:row>
    <x:row r="50" ht="36" customHeight="1">
      <x:c r="A50" s="13" t="str">
        <x:v>SYN-VACC-046</x:v>
      </x:c>
      <x:c r="B50" s="13" t="str">
        <x:v>VAWC/child abuse</x:v>
      </x:c>
      <x:c r="C50" s="13" t="str">
        <x:v>Synthetic</x:v>
      </x:c>
      <x:c r="D50" s="13" t="str"/>
      <x:c r="E50" s="13" t="str">
        <x:v>Referral</x:v>
      </x:c>
      <x:c r="F50" s="13" t="str">
        <x:v>Paghingi ng referral para sa child-protection concern</x:v>
      </x:c>
      <x:c r="G50" s="13" t="str">
        <x:v>May 23, 2026</x:v>
      </x:c>
      <x:c r="H50" s="13" t="str">
        <x:v>-</x:v>
      </x:c>
      <x:c r="I50" s="13" t="str">
        <x:v>Synthetic example: protected-person/child-safety concern; should be routed for referral and not ordinary mediation.</x:v>
      </x:c>
      <x:c r="J50" s="13" t="str">
        <x:v>Refer</x:v>
      </x:c>
      <x:c r="K50" s="13" t="str">
        <x:v>REFER_VAWC_CHILD_PROTECTION</x:v>
      </x:c>
      <x:c r="L50" s="13" t="str">
        <x:v>Not KP; mandatory safety referral screening</x:v>
      </x:c>
      <x:c r="M50" s="13" t="str">
        <x:v>Refer to VAWC desk/CSWDO/PNP/proper authority; do not mediate as ordinary KP case</x:v>
      </x:c>
      <x:c r="N50" s="13" t="str">
        <x:v>Protected-person or child-safety issue requires referral.</x:v>
      </x:c>
      <x:c r="O50" s="13" t="str"/>
      <x:c r="P50" s="13" t="str">
        <x:v>Paghingi ng referral para sa child-protection concern</x:v>
      </x:c>
      <x:c r="Q50" s="13" t="str">
        <x:v>Added to balance 'VAWC/child abuse' to 49 examples using the same Justice KP label schema.</x:v>
      </x:c>
      <x:c r="R50" s="13" t="str">
        <x:v>Synthetic row based on category coverage gap from uploaded PDF</x:v>
      </x:c>
    </x:row>
  </x:sheetData>
  <x:pageMargins left="0.7" right="0.7" top="0.75" bottom="0.75" header="0.3" footer="0.3"/>
  <x:tableParts count="1">
    <x:tablePart xmlns:r="http://schemas.openxmlformats.org/officeDocument/2006/relationships" r:id="Rbd64a3d88b3f4ba4"/>
  </x:tableParts>
</x:worksheet>
</file>

<file path=xl/worksheets/sheet11.xml><?xml version="1.0" encoding="utf-8"?>
<x:worksheet xmlns:x="http://schemas.openxmlformats.org/spreadsheetml/2006/main">
  <x:sheetFormatPr defaultRowHeight="15"/>
  <x:cols>
    <x:col min="1" max="1" width="18" hidden="0" customWidth="1"/>
    <x:col min="2" max="2" width="22" hidden="0" customWidth="1"/>
    <x:col min="3" max="3" width="13" hidden="0" customWidth="1"/>
    <x:col min="4" max="4" width="18" hidden="0" customWidth="1"/>
    <x:col min="5" max="5" width="18" hidden="0" customWidth="1"/>
    <x:col min="6" max="6" width="38" hidden="0" customWidth="1"/>
    <x:col min="7" max="7" width="17" hidden="0" customWidth="1"/>
    <x:col min="9" max="9" width="55" hidden="0" customWidth="1"/>
    <x:col min="11" max="11" width="24" hidden="0" customWidth="1"/>
    <x:col min="12" max="12" width="32" hidden="0" customWidth="1"/>
    <x:col min="13" max="13" width="42" hidden="0" customWidth="1"/>
    <x:col min="14" max="14" width="50" hidden="0" customWidth="1"/>
    <x:col min="17" max="17" width="50" hidden="0" customWidth="1"/>
    <x:col min="18" max="18" width="35" hidden="0" customWidth="1"/>
  </x:cols>
  <x:sheetData>
    <x:row r="1" ht="42" customHeight="1">
      <x:c r="A1" s="6" t="str">
        <x:v>case_id</x:v>
      </x:c>
      <x:c r="B1" s="6" t="str">
        <x:v>case_type</x:v>
      </x:c>
      <x:c r="C1" s="6" t="str">
        <x:v>source_type</x:v>
      </x:c>
      <x:c r="D1" s="6" t="str">
        <x:v>source_pdf_case_id</x:v>
      </x:c>
      <x:c r="E1" s="6" t="str">
        <x:v>original_dispute_category</x:v>
      </x:c>
      <x:c r="F1" s="6" t="str">
        <x:v>original_nature</x:v>
      </x:c>
      <x:c r="G1" s="6" t="str">
        <x:v>date_filed</x:v>
      </x:c>
      <x:c r="H1" s="6" t="str">
        <x:v>date_of_settlement_or_award</x:v>
      </x:c>
      <x:c r="I1" s="6" t="str">
        <x:v>conversation_status</x:v>
      </x:c>
      <x:c r="J1" s="6" t="str">
        <x:v>action_taken</x:v>
      </x:c>
      <x:c r="K1" s="6" t="str">
        <x:v>justice_kp_label</x:v>
      </x:c>
      <x:c r="L1" s="6" t="str">
        <x:v>kp_eligibility</x:v>
      </x:c>
      <x:c r="M1" s="6" t="str">
        <x:v>recommended_system_action</x:v>
      </x:c>
      <x:c r="N1" s="6" t="str">
        <x:v>label_reason</x:v>
      </x:c>
      <x:c r="O1" s="6" t="str">
        <x:v>amount_or_penalty_reference</x:v>
      </x:c>
      <x:c r="P1" s="6" t="str">
        <x:v>evidence_of_type</x:v>
      </x:c>
      <x:c r="Q1" s="6" t="str">
        <x:v>synthetic_generation_note</x:v>
      </x:c>
      <x:c r="R1" s="6" t="str">
        <x:v>source_file</x:v>
      </x:c>
    </x:row>
    <x:row r="2" ht="36" customHeight="1">
      <x:c r="A2" s="13" t="str">
        <x:v>KP-25-010-PSWT</x:v>
      </x:c>
      <x:c r="B2" s="13" t="str">
        <x:v>outside-KP</x:v>
      </x:c>
      <x:c r="C2" s="13" t="str">
        <x:v>Real PDF</x:v>
      </x:c>
      <x:c r="D2" s="13" t="str">
        <x:v>KP-25-010-PSWT</x:v>
      </x:c>
      <x:c r="E2" s="13" t="str">
        <x:v>Criminal</x:v>
      </x:c>
      <x:c r="F2" s="13" t="str">
        <x:v>Aksidente</x:v>
      </x:c>
      <x:c r="G2" s="13" t="str">
        <x:v>January 8, 2025</x:v>
      </x:c>
      <x:c r="H2" s="13" t="str">
        <x:v>-</x:v>
      </x:c>
      <x:c r="I2" s="13" t="str">
        <x:v>Nagkaroon ng paghaharap subalit walang pagkakasundo sa dalawang panig</x:v>
      </x:c>
      <x:c r="J2" s="13" t="str">
        <x:v>Endorsed</x:v>
      </x:c>
      <x:c r="K2" s="13" t="str">
        <x:v>NON_KP_REVIEW</x:v>
      </x:c>
      <x:c r="L2" s="13" t="str">
        <x:v>Needs legal/KP eligibility review</x:v>
      </x:c>
      <x:c r="M2" s="13" t="str">
        <x:v>Flag for secretary/lupon review before action</x:v>
      </x:c>
      <x:c r="N2" s="13" t="str">
        <x:v>Does not match the covered example categories or needs non-KP/legal review before conciliation.</x:v>
      </x:c>
      <x:c r="O2" s="13" t="str"/>
      <x:c r="P2" s="13" t="str">
        <x:v>Aksidente</x:v>
      </x:c>
      <x:c r="Q2" s="13" t="str"/>
      <x:c r="R2" s="13" t="str">
        <x:v>KP CASE PSWT - Sheet1 - KP CASE PSWT - Sheet1.pdf</x:v>
      </x:c>
    </x:row>
    <x:row r="3" ht="36" customHeight="1">
      <x:c r="A3" s="13" t="str">
        <x:v>KP-25-013-PSWT</x:v>
      </x:c>
      <x:c r="B3" s="13" t="str">
        <x:v>outside-KP</x:v>
      </x:c>
      <x:c r="C3" s="13" t="str">
        <x:v>Real PDF</x:v>
      </x:c>
      <x:c r="D3" s="13" t="str">
        <x:v>KP-25-013-PSWT</x:v>
      </x:c>
      <x:c r="E3" s="13" t="str">
        <x:v>Criminal</x:v>
      </x:c>
      <x:c r="F3" s="13" t="str">
        <x:v>Paninirang puri</x:v>
      </x:c>
      <x:c r="G3" s="13" t="str">
        <x:v>January 17, 2025</x:v>
      </x:c>
      <x:c r="H3" s="13" t="str">
        <x:v>-</x:v>
      </x:c>
      <x:c r="I3" s="13" t="str">
        <x:v>Nagkaroon ng paghaharap subalit walang pagkakasundo sa dalawang panig</x:v>
      </x:c>
      <x:c r="J3" s="13" t="str">
        <x:v>Dismiss</x:v>
      </x:c>
      <x:c r="K3" s="13" t="str">
        <x:v>NON_KP_REVIEW</x:v>
      </x:c>
      <x:c r="L3" s="13" t="str">
        <x:v>Needs legal/KP eligibility review</x:v>
      </x:c>
      <x:c r="M3" s="13" t="str">
        <x:v>Flag for secretary/lupon review before action</x:v>
      </x:c>
      <x:c r="N3" s="13" t="str">
        <x:v>Does not match the covered example categories or needs non-KP/legal review before conciliation.</x:v>
      </x:c>
      <x:c r="O3" s="13" t="str"/>
      <x:c r="P3" s="13" t="str">
        <x:v>Paninirang puri</x:v>
      </x:c>
      <x:c r="Q3" s="13" t="str"/>
      <x:c r="R3" s="13" t="str">
        <x:v>KP CASE PSWT - Sheet1 - KP CASE PSWT - Sheet1.pdf</x:v>
      </x:c>
    </x:row>
    <x:row r="4" ht="36" customHeight="1">
      <x:c r="A4" s="13" t="str">
        <x:v>KP-25-027-PSWT</x:v>
      </x:c>
      <x:c r="B4" s="13" t="str">
        <x:v>outside-KP</x:v>
      </x:c>
      <x:c r="C4" s="13" t="str">
        <x:v>Real PDF</x:v>
      </x:c>
      <x:c r="D4" s="13" t="str">
        <x:v>KP-25-027-PSWT</x:v>
      </x:c>
      <x:c r="E4" s="13" t="str">
        <x:v>Criminal</x:v>
      </x:c>
      <x:c r="F4" s="13" t="str">
        <x:v>Pagsasalita ng masama</x:v>
      </x:c>
      <x:c r="G4" s="13" t="str">
        <x:v>March 13, 2025</x:v>
      </x:c>
      <x:c r="H4" s="13" t="str">
        <x:v>May 6, 2025</x:v>
      </x:c>
      <x:c r="I4" s="13" t="str">
        <x:v>Nagkaroon ng pagkakasundo humingi ng pasensya ang ipinagsumbong at nangako na magbibigay ng P500 monthly hanggang matapos ang halagang P5,000.</x:v>
      </x:c>
      <x:c r="J4" s="13" t="str">
        <x:v>Settled</x:v>
      </x:c>
      <x:c r="K4" s="13" t="str">
        <x:v>NON_KP_REVIEW</x:v>
      </x:c>
      <x:c r="L4" s="13" t="str">
        <x:v>Needs legal/KP eligibility review</x:v>
      </x:c>
      <x:c r="M4" s="13" t="str">
        <x:v>Flag for secretary/lupon review before action</x:v>
      </x:c>
      <x:c r="N4" s="13" t="str">
        <x:v>Does not match the covered example categories or needs non-KP/legal review before conciliation.</x:v>
      </x:c>
      <x:c r="O4" s="13" t="str">
        <x:v>P500; P5,000</x:v>
      </x:c>
      <x:c r="P4" s="13" t="str">
        <x:v>Pagsasalita ng masama</x:v>
      </x:c>
      <x:c r="Q4" s="13" t="str"/>
      <x:c r="R4" s="13" t="str">
        <x:v>KP CASE PSWT - Sheet1 - KP CASE PSWT - Sheet1.pdf</x:v>
      </x:c>
    </x:row>
    <x:row r="5" ht="36" customHeight="1">
      <x:c r="A5" s="13" t="str">
        <x:v>KP-25-030-PSWT</x:v>
      </x:c>
      <x:c r="B5" s="13" t="str">
        <x:v>outside-KP</x:v>
      </x:c>
      <x:c r="C5" s="13" t="str">
        <x:v>Real PDF</x:v>
      </x:c>
      <x:c r="D5" s="13" t="str">
        <x:v>KP-25-030-PSWT</x:v>
      </x:c>
      <x:c r="E5" s="13" t="str">
        <x:v>Criminal</x:v>
      </x:c>
      <x:c r="F5" s="13" t="str">
        <x:v>Paninirang puri</x:v>
      </x:c>
      <x:c r="G5" s="13" t="str">
        <x:v>March 24, 2025</x:v>
      </x:c>
      <x:c r="H5" s="13" t="str">
        <x:v>March 25, 2025</x:v>
      </x:c>
      <x:c r="I5" s="13" t="str">
        <x:v>Nagkaroon ng pagkakasundo at nagkalinawan sa mga isyu.</x:v>
      </x:c>
      <x:c r="J5" s="13" t="str">
        <x:v>Settled</x:v>
      </x:c>
      <x:c r="K5" s="13" t="str">
        <x:v>NON_KP_REVIEW</x:v>
      </x:c>
      <x:c r="L5" s="13" t="str">
        <x:v>Needs legal/KP eligibility review</x:v>
      </x:c>
      <x:c r="M5" s="13" t="str">
        <x:v>Flag for secretary/lupon review before action</x:v>
      </x:c>
      <x:c r="N5" s="13" t="str">
        <x:v>Does not match the covered example categories or needs non-KP/legal review before conciliation.</x:v>
      </x:c>
      <x:c r="O5" s="13" t="str"/>
      <x:c r="P5" s="13" t="str">
        <x:v>Paninirang puri</x:v>
      </x:c>
      <x:c r="Q5" s="13" t="str"/>
      <x:c r="R5" s="13" t="str">
        <x:v>KP CASE PSWT - Sheet1 - KP CASE PSWT - Sheet1.pdf</x:v>
      </x:c>
    </x:row>
    <x:row r="6" ht="36" customHeight="1">
      <x:c r="A6" s="13" t="str">
        <x:v>KP-25-051-PSWT</x:v>
      </x:c>
      <x:c r="B6" s="13" t="str">
        <x:v>outside-KP</x:v>
      </x:c>
      <x:c r="C6" s="13" t="str">
        <x:v>Real PDF</x:v>
      </x:c>
      <x:c r="D6" s="13" t="str">
        <x:v>KP-25-051-PSWT</x:v>
      </x:c>
      <x:c r="E6" s="13" t="str">
        <x:v>Criminal</x:v>
      </x:c>
      <x:c r="F6" s="13" t="str">
        <x:v>Paninirang puri</x:v>
      </x:c>
      <x:c r="G6" s="13" t="str">
        <x:v>June 12, 2025</x:v>
      </x:c>
      <x:c r="H6" s="13" t="str">
        <x:v>-</x:v>
      </x:c>
      <x:c r="I6" s="13" t="str">
        <x:v>Walang pagkakasundo sa dalawang panig.</x:v>
      </x:c>
      <x:c r="J6" s="13" t="str">
        <x:v>Endorsed</x:v>
      </x:c>
      <x:c r="K6" s="13" t="str">
        <x:v>NON_KP_REVIEW</x:v>
      </x:c>
      <x:c r="L6" s="13" t="str">
        <x:v>Needs legal/KP eligibility review</x:v>
      </x:c>
      <x:c r="M6" s="13" t="str">
        <x:v>Flag for secretary/lupon review before action</x:v>
      </x:c>
      <x:c r="N6" s="13" t="str">
        <x:v>Does not match the covered example categories or needs non-KP/legal review before conciliation.</x:v>
      </x:c>
      <x:c r="O6" s="13" t="str"/>
      <x:c r="P6" s="13" t="str">
        <x:v>Paninirang puri</x:v>
      </x:c>
      <x:c r="Q6" s="13" t="str"/>
      <x:c r="R6" s="13" t="str">
        <x:v>KP CASE PSWT - Sheet1 - KP CASE PSWT - Sheet1.pdf</x:v>
      </x:c>
    </x:row>
    <x:row r="7" ht="36" customHeight="1">
      <x:c r="A7" s="13" t="str">
        <x:v>KP-25-063-PSWT</x:v>
      </x:c>
      <x:c r="B7" s="13" t="str">
        <x:v>outside-KP</x:v>
      </x:c>
      <x:c r="C7" s="13" t="str">
        <x:v>Real PDF</x:v>
      </x:c>
      <x:c r="D7" s="13" t="str">
        <x:v>KP-25-063-PSWT</x:v>
      </x:c>
      <x:c r="E7" s="13" t="str">
        <x:v>Criminal</x:v>
      </x:c>
      <x:c r="F7" s="13" t="str">
        <x:v>Pagbibintang na nagnakaw</x:v>
      </x:c>
      <x:c r="G7" s="13" t="str">
        <x:v>July 30, 2025</x:v>
      </x:c>
      <x:c r="H7" s="13" t="str">
        <x:v>August 1, 2025</x:v>
      </x:c>
      <x:c r="I7" s="13" t="str">
        <x:v>Nalinawan ang bawat isa na ang puno't dulo ng lahat ay ipinagsumbong at ginamit lang sila. Ang usapin ay tinatapos na.</x:v>
      </x:c>
      <x:c r="J7" s="13" t="str">
        <x:v>Settled</x:v>
      </x:c>
      <x:c r="K7" s="13" t="str">
        <x:v>NON_KP_REVIEW</x:v>
      </x:c>
      <x:c r="L7" s="13" t="str">
        <x:v>Needs legal/KP eligibility review</x:v>
      </x:c>
      <x:c r="M7" s="13" t="str">
        <x:v>Flag for secretary/lupon review before action</x:v>
      </x:c>
      <x:c r="N7" s="13" t="str">
        <x:v>Does not match the covered example categories or needs non-KP/legal review before conciliation.</x:v>
      </x:c>
      <x:c r="O7" s="13" t="str"/>
      <x:c r="P7" s="13" t="str">
        <x:v>Pagbibintang na nagnakaw</x:v>
      </x:c>
      <x:c r="Q7" s="13" t="str"/>
      <x:c r="R7" s="13" t="str">
        <x:v>KP CASE PSWT - Sheet1 - KP CASE PSWT - Sheet1.pdf</x:v>
      </x:c>
    </x:row>
    <x:row r="8" ht="36" customHeight="1">
      <x:c r="A8" s="13" t="str">
        <x:v>KP-25-074-PSWT</x:v>
      </x:c>
      <x:c r="B8" s="13" t="str">
        <x:v>outside-KP</x:v>
      </x:c>
      <x:c r="C8" s="13" t="str">
        <x:v>Real PDF</x:v>
      </x:c>
      <x:c r="D8" s="13" t="str">
        <x:v>KP-25-074-PSWT</x:v>
      </x:c>
      <x:c r="E8" s="13" t="str">
        <x:v>Criminal</x:v>
      </x:c>
      <x:c r="F8" s="13" t="str">
        <x:v>Pagbibintang</x:v>
      </x:c>
      <x:c r="G8" s="13" t="str">
        <x:v>August 18, 2025</x:v>
      </x:c>
      <x:c r="H8" s="13" t="str">
        <x:v>-</x:v>
      </x:c>
      <x:c r="I8" s="13" t="str">
        <x:v>Walang pagkakasundo sa dalawang panig kaya't ang maysumbong ay may karapatan ng maghain ng kaukulang reklamo sa kinauukulang tanggapan.</x:v>
      </x:c>
      <x:c r="J8" s="13" t="str">
        <x:v>Endorsed</x:v>
      </x:c>
      <x:c r="K8" s="13" t="str">
        <x:v>NON_KP_REVIEW</x:v>
      </x:c>
      <x:c r="L8" s="13" t="str">
        <x:v>Needs legal/KP eligibility review</x:v>
      </x:c>
      <x:c r="M8" s="13" t="str">
        <x:v>Flag for secretary/lupon review before action</x:v>
      </x:c>
      <x:c r="N8" s="13" t="str">
        <x:v>Does not match the covered example categories or needs non-KP/legal review before conciliation.</x:v>
      </x:c>
      <x:c r="O8" s="13" t="str"/>
      <x:c r="P8" s="13" t="str">
        <x:v>Pagbibintang</x:v>
      </x:c>
      <x:c r="Q8" s="13" t="str"/>
      <x:c r="R8" s="13" t="str">
        <x:v>KP CASE PSWT - Sheet1 - KP CASE PSWT - Sheet1.pdf</x:v>
      </x:c>
    </x:row>
    <x:row r="9" ht="36" customHeight="1">
      <x:c r="A9" s="13" t="str">
        <x:v>KP-25-078-PSWT</x:v>
      </x:c>
      <x:c r="B9" s="13" t="str">
        <x:v>outside-KP</x:v>
      </x:c>
      <x:c r="C9" s="13" t="str">
        <x:v>Real PDF</x:v>
      </x:c>
      <x:c r="D9" s="13" t="str">
        <x:v>KP-25-078-PSWT</x:v>
      </x:c>
      <x:c r="E9" s="13" t="str">
        <x:v>Criminal</x:v>
      </x:c>
      <x:c r="F9" s="13" t="str">
        <x:v>Paninirang puri sa social media</x:v>
      </x:c>
      <x:c r="G9" s="13" t="str">
        <x:v>August 25, 2025</x:v>
      </x:c>
      <x:c r="H9" s="13" t="str">
        <x:v>September 3, 2025</x:v>
      </x:c>
      <x:c r="I9" s="13" t="str">
        <x:v>Nagkaroon ng pagkakasundo at pakiusap ng maysumbong na magpublic apology ang maysumbong. Pakiusap ng ipinagsumbong na magpost din ang maysumbong na magthank you.</x:v>
      </x:c>
      <x:c r="J9" s="13" t="str">
        <x:v>Settled</x:v>
      </x:c>
      <x:c r="K9" s="13" t="str">
        <x:v>NON_KP_REVIEW</x:v>
      </x:c>
      <x:c r="L9" s="13" t="str">
        <x:v>Needs legal/KP eligibility review</x:v>
      </x:c>
      <x:c r="M9" s="13" t="str">
        <x:v>Flag for secretary/lupon review before action</x:v>
      </x:c>
      <x:c r="N9" s="13" t="str">
        <x:v>Does not match the covered example categories or needs non-KP/legal review before conciliation.</x:v>
      </x:c>
      <x:c r="O9" s="13" t="str"/>
      <x:c r="P9" s="13" t="str">
        <x:v>Paninirang puri sa social media</x:v>
      </x:c>
      <x:c r="Q9" s="13" t="str"/>
      <x:c r="R9" s="13" t="str">
        <x:v>KP CASE PSWT - Sheet1 - KP CASE PSWT - Sheet1.pdf</x:v>
      </x:c>
    </x:row>
    <x:row r="10" ht="36" customHeight="1">
      <x:c r="A10" s="13" t="str">
        <x:v>KP-25-085-PSWT</x:v>
      </x:c>
      <x:c r="B10" s="13" t="str">
        <x:v>outside-KP</x:v>
      </x:c>
      <x:c r="C10" s="13" t="str">
        <x:v>Real PDF</x:v>
      </x:c>
      <x:c r="D10" s="13" t="str">
        <x:v>KP-25-085-PSWT</x:v>
      </x:c>
      <x:c r="E10" s="13" t="str">
        <x:v>Criminal</x:v>
      </x:c>
      <x:c r="F10" s="13" t="str">
        <x:v>Paglilinaw sa pmbabato sa bubungan</x:v>
      </x:c>
      <x:c r="G10" s="13" t="str">
        <x:v>October 4, 2025</x:v>
      </x:c>
      <x:c r="H10" s="13" t="str">
        <x:v>October 7, 2025</x:v>
      </x:c>
      <x:c r="I10" s="13" t="str">
        <x:v>Tinatapos na ang usapin.</x:v>
      </x:c>
      <x:c r="J10" s="13" t="str">
        <x:v>Settled</x:v>
      </x:c>
      <x:c r="K10" s="13" t="str">
        <x:v>NON_KP_REVIEW</x:v>
      </x:c>
      <x:c r="L10" s="13" t="str">
        <x:v>Needs legal/KP eligibility review</x:v>
      </x:c>
      <x:c r="M10" s="13" t="str">
        <x:v>Flag for secretary/lupon review before action</x:v>
      </x:c>
      <x:c r="N10" s="13" t="str">
        <x:v>Does not match the covered example categories or needs non-KP/legal review before conciliation.</x:v>
      </x:c>
      <x:c r="O10" s="13" t="str"/>
      <x:c r="P10" s="13" t="str">
        <x:v>Paglilinaw sa pmbabato sa bubungan</x:v>
      </x:c>
      <x:c r="Q10" s="13" t="str"/>
      <x:c r="R10" s="13" t="str">
        <x:v>KP CASE PSWT - Sheet1 - KP CASE PSWT - Sheet1.pdf</x:v>
      </x:c>
    </x:row>
    <x:row r="11" ht="36" customHeight="1">
      <x:c r="A11" s="13" t="str">
        <x:v>KP-25-091-PSWT</x:v>
      </x:c>
      <x:c r="B11" s="13" t="str">
        <x:v>outside-KP</x:v>
      </x:c>
      <x:c r="C11" s="13" t="str">
        <x:v>Real PDF</x:v>
      </x:c>
      <x:c r="D11" s="13" t="str">
        <x:v>KP-25-091-PSWT</x:v>
      </x:c>
      <x:c r="E11" s="13" t="str">
        <x:v>Criminal</x:v>
      </x:c>
      <x:c r="F11" s="13" t="str">
        <x:v>Paninira sa online</x:v>
      </x:c>
      <x:c r="G11" s="13" t="str">
        <x:v>October 13, 2025</x:v>
      </x:c>
      <x:c r="H11" s="13" t="str">
        <x:v>-</x:v>
      </x:c>
      <x:c r="I11" s="13" t="str">
        <x:v>Nagkaroon ng unang patawag subalit ang ipinagsumbong ay hindi nakadating. At sa dahilang ang maysumbong ay nanganak kaya't ang usapin ay nakapending.</x:v>
      </x:c>
      <x:c r="J11" s="13" t="str">
        <x:v>Pending</x:v>
      </x:c>
      <x:c r="K11" s="13" t="str">
        <x:v>NON_KP_REVIEW</x:v>
      </x:c>
      <x:c r="L11" s="13" t="str">
        <x:v>Needs legal/KP eligibility review</x:v>
      </x:c>
      <x:c r="M11" s="13" t="str">
        <x:v>Flag for secretary/lupon review before action</x:v>
      </x:c>
      <x:c r="N11" s="13" t="str">
        <x:v>Does not match the covered example categories or needs non-KP/legal review before conciliation.</x:v>
      </x:c>
      <x:c r="O11" s="13" t="str"/>
      <x:c r="P11" s="13" t="str">
        <x:v>Paninira sa online</x:v>
      </x:c>
      <x:c r="Q11" s="13" t="str"/>
      <x:c r="R11" s="13" t="str">
        <x:v>KP CASE PSWT - Sheet1 - KP CASE PSWT - Sheet1.pdf</x:v>
      </x:c>
    </x:row>
    <x:row r="12" ht="36" customHeight="1">
      <x:c r="A12" s="13" t="str">
        <x:v>KP-25-095-PSWT</x:v>
      </x:c>
      <x:c r="B12" s="13" t="str">
        <x:v>outside-KP</x:v>
      </x:c>
      <x:c r="C12" s="13" t="str">
        <x:v>Real PDF</x:v>
      </x:c>
      <x:c r="D12" s="13" t="str">
        <x:v>KP-25-095-PSWT</x:v>
      </x:c>
      <x:c r="E12" s="13" t="str">
        <x:v>Criminal</x:v>
      </x:c>
      <x:c r="F12" s="13" t="str">
        <x:v>Pagkakalat ng chismis</x:v>
      </x:c>
      <x:c r="G12" s="13" t="str">
        <x:v>October 27, 2025</x:v>
      </x:c>
      <x:c r="H12" s="13" t="str">
        <x:v>November 12, 2025</x:v>
      </x:c>
      <x:c r="I12" s="13" t="str">
        <x:v>Nagkaunawaan ang dalawang panig. Pakiusap ng maysumbong na huwag magchismis at huwag pakialaman ang buhay ng iba. Humingi ng pasensya ang ipinagsumbong sa maysumbong.</x:v>
      </x:c>
      <x:c r="J12" s="13" t="str">
        <x:v>Settled</x:v>
      </x:c>
      <x:c r="K12" s="13" t="str">
        <x:v>NON_KP_REVIEW</x:v>
      </x:c>
      <x:c r="L12" s="13" t="str">
        <x:v>Needs legal/KP eligibility review</x:v>
      </x:c>
      <x:c r="M12" s="13" t="str">
        <x:v>Flag for secretary/lupon review before action</x:v>
      </x:c>
      <x:c r="N12" s="13" t="str">
        <x:v>Does not match the covered example categories or needs non-KP/legal review before conciliation.</x:v>
      </x:c>
      <x:c r="O12" s="13" t="str"/>
      <x:c r="P12" s="13" t="str">
        <x:v>Pagkakalat ng chismis</x:v>
      </x:c>
      <x:c r="Q12" s="13" t="str"/>
      <x:c r="R12" s="13" t="str">
        <x:v>KP CASE PSWT - Sheet1 - KP CASE PSWT - Sheet1.pdf</x:v>
      </x:c>
    </x:row>
    <x:row r="13" ht="36" customHeight="1">
      <x:c r="A13" s="13" t="str">
        <x:v>KP-25-096-PSWT</x:v>
      </x:c>
      <x:c r="B13" s="13" t="str">
        <x:v>outside-KP</x:v>
      </x:c>
      <x:c r="C13" s="13" t="str">
        <x:v>Real PDF</x:v>
      </x:c>
      <x:c r="D13" s="13" t="str">
        <x:v>KP-25-096-PSWT</x:v>
      </x:c>
      <x:c r="E13" s="13" t="str">
        <x:v>Criminal</x:v>
      </x:c>
      <x:c r="F13" s="13" t="str">
        <x:v>PAninirang puri</x:v>
      </x:c>
      <x:c r="G13" s="13" t="str">
        <x:v>October 28, 2025</x:v>
      </x:c>
      <x:c r="H13" s="13" t="str">
        <x:v>-</x:v>
      </x:c>
      <x:c r="I13" s="13" t="str">
        <x:v>Nagkaroon ng patawag subalit ang ipinagsumbong ay hindi nadating sa hearing kaya't ang maysumbong ay may karapatan ng maghain ng kaukulang reklamo sa kinauukulang tanggapan.</x:v>
      </x:c>
      <x:c r="J13" s="13" t="str">
        <x:v>Endorsed</x:v>
      </x:c>
      <x:c r="K13" s="13" t="str">
        <x:v>NON_KP_REVIEW</x:v>
      </x:c>
      <x:c r="L13" s="13" t="str">
        <x:v>Needs legal/KP eligibility review</x:v>
      </x:c>
      <x:c r="M13" s="13" t="str">
        <x:v>Flag for secretary/lupon review before action</x:v>
      </x:c>
      <x:c r="N13" s="13" t="str">
        <x:v>Does not match the covered example categories or needs non-KP/legal review before conciliation.</x:v>
      </x:c>
      <x:c r="O13" s="13" t="str"/>
      <x:c r="P13" s="13" t="str">
        <x:v>PAninirang puri</x:v>
      </x:c>
      <x:c r="Q13" s="13" t="str"/>
      <x:c r="R13" s="13" t="str">
        <x:v>KP CASE PSWT - Sheet1 - KP CASE PSWT - Sheet1.pdf</x:v>
      </x:c>
    </x:row>
    <x:row r="14" ht="36" customHeight="1">
      <x:c r="A14" s="13" t="str">
        <x:v>KP-25-106-PSWT</x:v>
      </x:c>
      <x:c r="B14" s="13" t="str">
        <x:v>outside-KP</x:v>
      </x:c>
      <x:c r="C14" s="13" t="str">
        <x:v>Real PDF</x:v>
      </x:c>
      <x:c r="D14" s="13" t="str">
        <x:v>KP-25-106-PSWT</x:v>
      </x:c>
      <x:c r="E14" s="13" t="str">
        <x:v>Criminal</x:v>
      </x:c>
      <x:c r="F14" s="13" t="str">
        <x:v>Paninirang puri</x:v>
      </x:c>
      <x:c r="G14" s="13" t="str">
        <x:v>November 20, 2025</x:v>
      </x:c>
      <x:c r="H14" s="13" t="str">
        <x:v>-</x:v>
      </x:c>
      <x:c r="I14" s="13" t="str">
        <x:v>Walang pagkakasundo sa dalawang panig kaya't ang maysumbong ay may karapatan ng maghain ng kaukulang reklamo sa kinauukulang tanggapan.</x:v>
      </x:c>
      <x:c r="J14" s="13" t="str">
        <x:v>Endorsed</x:v>
      </x:c>
      <x:c r="K14" s="13" t="str">
        <x:v>NON_KP_REVIEW</x:v>
      </x:c>
      <x:c r="L14" s="13" t="str">
        <x:v>Needs legal/KP eligibility review</x:v>
      </x:c>
      <x:c r="M14" s="13" t="str">
        <x:v>Flag for secretary/lupon review before action</x:v>
      </x:c>
      <x:c r="N14" s="13" t="str">
        <x:v>Does not match the covered example categories or needs non-KP/legal review before conciliation.</x:v>
      </x:c>
      <x:c r="O14" s="13" t="str"/>
      <x:c r="P14" s="13" t="str">
        <x:v>Paninirang puri</x:v>
      </x:c>
      <x:c r="Q14" s="13" t="str"/>
      <x:c r="R14" s="13" t="str">
        <x:v>KP CASE PSWT - Sheet1 - KP CASE PSWT - Sheet1.pdf</x:v>
      </x:c>
    </x:row>
    <x:row r="15" ht="36" customHeight="1">
      <x:c r="A15" s="13" t="str">
        <x:v>SYN-OUT-001</x:v>
      </x:c>
      <x:c r="B15" s="13" t="str">
        <x:v>outside-KP</x:v>
      </x:c>
      <x:c r="C15" s="13" t="str">
        <x:v>Synthetic</x:v>
      </x:c>
      <x:c r="D15" s="13" t="str"/>
      <x:c r="E15" s="13" t="str">
        <x:v>Review</x:v>
      </x:c>
      <x:c r="F15" s="13" t="str">
        <x:v>Aksidenteng kinasasangkutan ng sasakyan na kailangan ng police report</x:v>
      </x:c>
      <x:c r="G15" s="13" t="str">
        <x:v>January 9, 2026</x:v>
      </x:c>
      <x:c r="H15" s="13" t="str">
        <x:v>-</x:v>
      </x:c>
      <x:c r="I15" s="13" t="str">
        <x:v>Synthetic example: facts indicate matter is outside ordinary barangay conciliation or needs another forum.</x:v>
      </x:c>
      <x:c r="J15" s="13" t="str">
        <x:v>Review</x:v>
      </x:c>
      <x:c r="K15" s="13" t="str">
        <x:v>NON_KP_REVIEW</x:v>
      </x:c>
      <x:c r="L15" s="13" t="str">
        <x:v>Needs legal/KP eligibility review</x:v>
      </x:c>
      <x:c r="M15" s="13" t="str">
        <x:v>Flag as outside ordinary KP and route to proper agency or legal review</x:v>
      </x:c>
      <x:c r="N15" s="13" t="str">
        <x:v>Outside ordinary KP coverage or lacks required barangay jurisdiction facts.</x:v>
      </x:c>
      <x:c r="O15" s="13" t="str"/>
      <x:c r="P15" s="13" t="str">
        <x:v>Aksidenteng kinasasangkutan ng sasakyan na kailangan ng police report</x:v>
      </x:c>
      <x:c r="Q15" s="13" t="str">
        <x:v>Added to balance 'outside-KP' to 49 examples using the same Justice KP label schema.</x:v>
      </x:c>
      <x:c r="R15" s="13" t="str">
        <x:v>Synthetic row based on category coverage gap from uploaded PDF</x:v>
      </x:c>
    </x:row>
    <x:row r="16" ht="36" customHeight="1">
      <x:c r="A16" s="13" t="str">
        <x:v>SYN-OUT-002</x:v>
      </x:c>
      <x:c r="B16" s="13" t="str">
        <x:v>outside-KP</x:v>
      </x:c>
      <x:c r="C16" s="13" t="str">
        <x:v>Synthetic</x:v>
      </x:c>
      <x:c r="D16" s="13" t="str"/>
      <x:c r="E16" s="13" t="str">
        <x:v>Review</x:v>
      </x:c>
      <x:c r="F16" s="13" t="str">
        <x:v>Usaping corporate contract na hindi personal na barangay dispute</x:v>
      </x:c>
      <x:c r="G16" s="13" t="str">
        <x:v>January 12, 2026</x:v>
      </x:c>
      <x:c r="H16" s="13" t="str">
        <x:v>-</x:v>
      </x:c>
      <x:c r="I16" s="13" t="str">
        <x:v>Synthetic example: facts indicate matter is outside ordinary barangay conciliation or needs another forum.</x:v>
      </x:c>
      <x:c r="J16" s="13" t="str">
        <x:v>Review</x:v>
      </x:c>
      <x:c r="K16" s="13" t="str">
        <x:v>NON_KP_REVIEW</x:v>
      </x:c>
      <x:c r="L16" s="13" t="str">
        <x:v>Needs legal/KP eligibility review</x:v>
      </x:c>
      <x:c r="M16" s="13" t="str">
        <x:v>Flag as outside ordinary KP and route to proper agency or legal review</x:v>
      </x:c>
      <x:c r="N16" s="13" t="str">
        <x:v>Outside ordinary KP coverage or lacks required barangay jurisdiction facts.</x:v>
      </x:c>
      <x:c r="O16" s="13" t="str"/>
      <x:c r="P16" s="13" t="str">
        <x:v>Usaping corporate contract na hindi personal na barangay dispute</x:v>
      </x:c>
      <x:c r="Q16" s="13" t="str">
        <x:v>Added to balance 'outside-KP' to 49 examples using the same Justice KP label schema.</x:v>
      </x:c>
      <x:c r="R16" s="13" t="str">
        <x:v>Synthetic row based on category coverage gap from uploaded PDF</x:v>
      </x:c>
    </x:row>
    <x:row r="17" ht="36" customHeight="1">
      <x:c r="A17" s="13" t="str">
        <x:v>SYN-OUT-003</x:v>
      </x:c>
      <x:c r="B17" s="13" t="str">
        <x:v>outside-KP</x:v>
      </x:c>
      <x:c r="C17" s="13" t="str">
        <x:v>Synthetic</x:v>
      </x:c>
      <x:c r="D17" s="13" t="str"/>
      <x:c r="E17" s="13" t="str">
        <x:v>Review</x:v>
      </x:c>
      <x:c r="F17" s="13" t="str">
        <x:v>Reklamo sa online scam na hindi kilala ang respondent</x:v>
      </x:c>
      <x:c r="G17" s="13" t="str">
        <x:v>January 15, 2026</x:v>
      </x:c>
      <x:c r="H17" s="13" t="str">
        <x:v>-</x:v>
      </x:c>
      <x:c r="I17" s="13" t="str">
        <x:v>Synthetic example: facts indicate matter is outside ordinary barangay conciliation or needs another forum.</x:v>
      </x:c>
      <x:c r="J17" s="13" t="str">
        <x:v>Review</x:v>
      </x:c>
      <x:c r="K17" s="13" t="str">
        <x:v>NON_KP_REVIEW</x:v>
      </x:c>
      <x:c r="L17" s="13" t="str">
        <x:v>Needs legal/KP eligibility review</x:v>
      </x:c>
      <x:c r="M17" s="13" t="str">
        <x:v>Flag as outside ordinary KP and route to proper agency or legal review</x:v>
      </x:c>
      <x:c r="N17" s="13" t="str">
        <x:v>Outside ordinary KP coverage or lacks required barangay jurisdiction facts.</x:v>
      </x:c>
      <x:c r="O17" s="13" t="str"/>
      <x:c r="P17" s="13" t="str">
        <x:v>Reklamo sa online scam na hindi kilala ang respondent</x:v>
      </x:c>
      <x:c r="Q17" s="13" t="str">
        <x:v>Added to balance 'outside-KP' to 49 examples using the same Justice KP label schema.</x:v>
      </x:c>
      <x:c r="R17" s="13" t="str">
        <x:v>Synthetic row based on category coverage gap from uploaded PDF</x:v>
      </x:c>
    </x:row>
    <x:row r="18" ht="36" customHeight="1">
      <x:c r="A18" s="13" t="str">
        <x:v>SYN-OUT-004</x:v>
      </x:c>
      <x:c r="B18" s="13" t="str">
        <x:v>outside-KP</x:v>
      </x:c>
      <x:c r="C18" s="13" t="str">
        <x:v>Synthetic</x:v>
      </x:c>
      <x:c r="D18" s="13" t="str"/>
      <x:c r="E18" s="13" t="str">
        <x:v>Review</x:v>
      </x:c>
      <x:c r="F18" s="13" t="str">
        <x:v>Away na ang respondent ay residente ng ibang lungsod at hindi sakop</x:v>
      </x:c>
      <x:c r="G18" s="13" t="str">
        <x:v>January 18, 2026</x:v>
      </x:c>
      <x:c r="H18" s="13" t="str">
        <x:v>-</x:v>
      </x:c>
      <x:c r="I18" s="13" t="str">
        <x:v>Synthetic example: facts indicate matter is outside ordinary barangay conciliation or needs another forum.</x:v>
      </x:c>
      <x:c r="J18" s="13" t="str">
        <x:v>Review</x:v>
      </x:c>
      <x:c r="K18" s="13" t="str">
        <x:v>NON_KP_REVIEW</x:v>
      </x:c>
      <x:c r="L18" s="13" t="str">
        <x:v>Needs legal/KP eligibility review</x:v>
      </x:c>
      <x:c r="M18" s="13" t="str">
        <x:v>Flag as outside ordinary KP and route to proper agency or legal review</x:v>
      </x:c>
      <x:c r="N18" s="13" t="str">
        <x:v>Outside ordinary KP coverage or lacks required barangay jurisdiction facts.</x:v>
      </x:c>
      <x:c r="O18" s="13" t="str"/>
      <x:c r="P18" s="13" t="str">
        <x:v>Away na ang respondent ay residente ng ibang lungsod at hindi sakop</x:v>
      </x:c>
      <x:c r="Q18" s="13" t="str">
        <x:v>Added to balance 'outside-KP' to 49 examples using the same Justice KP label schema.</x:v>
      </x:c>
      <x:c r="R18" s="13" t="str">
        <x:v>Synthetic row based on category coverage gap from uploaded PDF</x:v>
      </x:c>
    </x:row>
    <x:row r="19" ht="36" customHeight="1">
      <x:c r="A19" s="13" t="str">
        <x:v>SYN-OUT-005</x:v>
      </x:c>
      <x:c r="B19" s="13" t="str">
        <x:v>outside-KP</x:v>
      </x:c>
      <x:c r="C19" s="13" t="str">
        <x:v>Synthetic</x:v>
      </x:c>
      <x:c r="D19" s="13" t="str"/>
      <x:c r="E19" s="13" t="str">
        <x:v>Review</x:v>
      </x:c>
      <x:c r="F19" s="13" t="str">
        <x:v>Cyber-related complaint na nangangailangan ng specialized investigation</x:v>
      </x:c>
      <x:c r="G19" s="13" t="str">
        <x:v>January 21, 2026</x:v>
      </x:c>
      <x:c r="H19" s="13" t="str">
        <x:v>-</x:v>
      </x:c>
      <x:c r="I19" s="13" t="str">
        <x:v>Synthetic example: facts indicate matter is outside ordinary barangay conciliation or needs another forum.</x:v>
      </x:c>
      <x:c r="J19" s="13" t="str">
        <x:v>Review</x:v>
      </x:c>
      <x:c r="K19" s="13" t="str">
        <x:v>NON_KP_REVIEW</x:v>
      </x:c>
      <x:c r="L19" s="13" t="str">
        <x:v>Needs legal/KP eligibility review</x:v>
      </x:c>
      <x:c r="M19" s="13" t="str">
        <x:v>Flag as outside ordinary KP and route to proper agency or legal review</x:v>
      </x:c>
      <x:c r="N19" s="13" t="str">
        <x:v>Outside ordinary KP coverage or lacks required barangay jurisdiction facts.</x:v>
      </x:c>
      <x:c r="O19" s="13" t="str"/>
      <x:c r="P19" s="13" t="str">
        <x:v>Cyber-related complaint na nangangailangan ng specialized investigation</x:v>
      </x:c>
      <x:c r="Q19" s="13" t="str">
        <x:v>Added to balance 'outside-KP' to 49 examples using the same Justice KP label schema.</x:v>
      </x:c>
      <x:c r="R19" s="13" t="str">
        <x:v>Synthetic row based on category coverage gap from uploaded PDF</x:v>
      </x:c>
    </x:row>
    <x:row r="20" ht="36" customHeight="1">
      <x:c r="A20" s="13" t="str">
        <x:v>SYN-OUT-006</x:v>
      </x:c>
      <x:c r="B20" s="13" t="str">
        <x:v>outside-KP</x:v>
      </x:c>
      <x:c r="C20" s="13" t="str">
        <x:v>Synthetic</x:v>
      </x:c>
      <x:c r="D20" s="13" t="str"/>
      <x:c r="E20" s="13" t="str">
        <x:v>Review</x:v>
      </x:c>
      <x:c r="F20" s="13" t="str">
        <x:v>Dispute sa lupa na may titulo at kailangan ng korte/registrar</x:v>
      </x:c>
      <x:c r="G20" s="13" t="str">
        <x:v>January 24, 2026</x:v>
      </x:c>
      <x:c r="H20" s="13" t="str">
        <x:v>-</x:v>
      </x:c>
      <x:c r="I20" s="13" t="str">
        <x:v>Synthetic example: facts indicate matter is outside ordinary barangay conciliation or needs another forum.</x:v>
      </x:c>
      <x:c r="J20" s="13" t="str">
        <x:v>Review</x:v>
      </x:c>
      <x:c r="K20" s="13" t="str">
        <x:v>NON_KP_REVIEW</x:v>
      </x:c>
      <x:c r="L20" s="13" t="str">
        <x:v>Needs legal/KP eligibility review</x:v>
      </x:c>
      <x:c r="M20" s="13" t="str">
        <x:v>Flag as outside ordinary KP and route to proper agency or legal review</x:v>
      </x:c>
      <x:c r="N20" s="13" t="str">
        <x:v>Outside ordinary KP coverage or lacks required barangay jurisdiction facts.</x:v>
      </x:c>
      <x:c r="O20" s="13" t="str"/>
      <x:c r="P20" s="13" t="str">
        <x:v>Dispute sa lupa na may titulo at kailangan ng korte/registrar</x:v>
      </x:c>
      <x:c r="Q20" s="13" t="str">
        <x:v>Added to balance 'outside-KP' to 49 examples using the same Justice KP label schema.</x:v>
      </x:c>
      <x:c r="R20" s="13" t="str">
        <x:v>Synthetic row based on category coverage gap from uploaded PDF</x:v>
      </x:c>
    </x:row>
    <x:row r="21" ht="36" customHeight="1">
      <x:c r="A21" s="13" t="str">
        <x:v>SYN-OUT-007</x:v>
      </x:c>
      <x:c r="B21" s="13" t="str">
        <x:v>outside-KP</x:v>
      </x:c>
      <x:c r="C21" s="13" t="str">
        <x:v>Synthetic</x:v>
      </x:c>
      <x:c r="D21" s="13" t="str"/>
      <x:c r="E21" s="13" t="str">
        <x:v>Review</x:v>
      </x:c>
      <x:c r="F21" s="13" t="str">
        <x:v>Reklamo tungkol sa employment dismissal sa pribadong kumpanya</x:v>
      </x:c>
      <x:c r="G21" s="13" t="str">
        <x:v>January 27, 2026</x:v>
      </x:c>
      <x:c r="H21" s="13" t="str">
        <x:v>-</x:v>
      </x:c>
      <x:c r="I21" s="13" t="str">
        <x:v>Synthetic example: facts indicate matter is outside ordinary barangay conciliation or needs another forum.</x:v>
      </x:c>
      <x:c r="J21" s="13" t="str">
        <x:v>Review</x:v>
      </x:c>
      <x:c r="K21" s="13" t="str">
        <x:v>NON_KP_REVIEW</x:v>
      </x:c>
      <x:c r="L21" s="13" t="str">
        <x:v>Needs legal/KP eligibility review</x:v>
      </x:c>
      <x:c r="M21" s="13" t="str">
        <x:v>Flag as outside ordinary KP and route to proper agency or legal review</x:v>
      </x:c>
      <x:c r="N21" s="13" t="str">
        <x:v>Outside ordinary KP coverage or lacks required barangay jurisdiction facts.</x:v>
      </x:c>
      <x:c r="O21" s="13" t="str"/>
      <x:c r="P21" s="13" t="str">
        <x:v>Reklamo tungkol sa employment dismissal sa pribadong kumpanya</x:v>
      </x:c>
      <x:c r="Q21" s="13" t="str">
        <x:v>Added to balance 'outside-KP' to 49 examples using the same Justice KP label schema.</x:v>
      </x:c>
      <x:c r="R21" s="13" t="str">
        <x:v>Synthetic row based on category coverage gap from uploaded PDF</x:v>
      </x:c>
    </x:row>
    <x:row r="22" ht="36" customHeight="1">
      <x:c r="A22" s="13" t="str">
        <x:v>SYN-OUT-008</x:v>
      </x:c>
      <x:c r="B22" s="13" t="str">
        <x:v>outside-KP</x:v>
      </x:c>
      <x:c r="C22" s="13" t="str">
        <x:v>Synthetic</x:v>
      </x:c>
      <x:c r="D22" s="13" t="str"/>
      <x:c r="E22" s="13" t="str">
        <x:v>Review</x:v>
      </x:c>
      <x:c r="F22" s="13" t="str">
        <x:v>Alitan sa negosyo na may written arbitration clause</x:v>
      </x:c>
      <x:c r="G22" s="13" t="str">
        <x:v>January 30, 2026</x:v>
      </x:c>
      <x:c r="H22" s="13" t="str">
        <x:v>-</x:v>
      </x:c>
      <x:c r="I22" s="13" t="str">
        <x:v>Synthetic example: facts indicate matter is outside ordinary barangay conciliation or needs another forum.</x:v>
      </x:c>
      <x:c r="J22" s="13" t="str">
        <x:v>Review</x:v>
      </x:c>
      <x:c r="K22" s="13" t="str">
        <x:v>NON_KP_REVIEW</x:v>
      </x:c>
      <x:c r="L22" s="13" t="str">
        <x:v>Needs legal/KP eligibility review</x:v>
      </x:c>
      <x:c r="M22" s="13" t="str">
        <x:v>Flag as outside ordinary KP and route to proper agency or legal review</x:v>
      </x:c>
      <x:c r="N22" s="13" t="str">
        <x:v>Outside ordinary KP coverage or lacks required barangay jurisdiction facts.</x:v>
      </x:c>
      <x:c r="O22" s="13" t="str"/>
      <x:c r="P22" s="13" t="str">
        <x:v>Alitan sa negosyo na may written arbitration clause</x:v>
      </x:c>
      <x:c r="Q22" s="13" t="str">
        <x:v>Added to balance 'outside-KP' to 49 examples using the same Justice KP label schema.</x:v>
      </x:c>
      <x:c r="R22" s="13" t="str">
        <x:v>Synthetic row based on category coverage gap from uploaded PDF</x:v>
      </x:c>
    </x:row>
    <x:row r="23" ht="36" customHeight="1">
      <x:c r="A23" s="13" t="str">
        <x:v>SYN-OUT-009</x:v>
      </x:c>
      <x:c r="B23" s="13" t="str">
        <x:v>outside-KP</x:v>
      </x:c>
      <x:c r="C23" s="13" t="str">
        <x:v>Synthetic</x:v>
      </x:c>
      <x:c r="D23" s="13" t="str"/>
      <x:c r="E23" s="13" t="str">
        <x:v>Review</x:v>
      </x:c>
      <x:c r="F23" s="13" t="str">
        <x:v>Reklamo laban sa hindi matukoy na online account</x:v>
      </x:c>
      <x:c r="G23" s="13" t="str">
        <x:v>February 2, 2026</x:v>
      </x:c>
      <x:c r="H23" s="13" t="str">
        <x:v>-</x:v>
      </x:c>
      <x:c r="I23" s="13" t="str">
        <x:v>Synthetic example: facts indicate matter is outside ordinary barangay conciliation or needs another forum.</x:v>
      </x:c>
      <x:c r="J23" s="13" t="str">
        <x:v>Review</x:v>
      </x:c>
      <x:c r="K23" s="13" t="str">
        <x:v>NON_KP_REVIEW</x:v>
      </x:c>
      <x:c r="L23" s="13" t="str">
        <x:v>Needs legal/KP eligibility review</x:v>
      </x:c>
      <x:c r="M23" s="13" t="str">
        <x:v>Flag as outside ordinary KP and route to proper agency or legal review</x:v>
      </x:c>
      <x:c r="N23" s="13" t="str">
        <x:v>Outside ordinary KP coverage or lacks required barangay jurisdiction facts.</x:v>
      </x:c>
      <x:c r="O23" s="13" t="str"/>
      <x:c r="P23" s="13" t="str">
        <x:v>Reklamo laban sa hindi matukoy na online account</x:v>
      </x:c>
      <x:c r="Q23" s="13" t="str">
        <x:v>Added to balance 'outside-KP' to 49 examples using the same Justice KP label schema.</x:v>
      </x:c>
      <x:c r="R23" s="13" t="str">
        <x:v>Synthetic row based on category coverage gap from uploaded PDF</x:v>
      </x:c>
    </x:row>
    <x:row r="24" ht="36" customHeight="1">
      <x:c r="A24" s="13" t="str">
        <x:v>SYN-OUT-010</x:v>
      </x:c>
      <x:c r="B24" s="13" t="str">
        <x:v>outside-KP</x:v>
      </x:c>
      <x:c r="C24" s="13" t="str">
        <x:v>Synthetic</x:v>
      </x:c>
      <x:c r="D24" s="13" t="str"/>
      <x:c r="E24" s="13" t="str">
        <x:v>Review</x:v>
      </x:c>
      <x:c r="F24" s="13" t="str">
        <x:v>Insurance claim dispute na dapat idaan sa insurer/regulator</x:v>
      </x:c>
      <x:c r="G24" s="13" t="str">
        <x:v>February 5, 2026</x:v>
      </x:c>
      <x:c r="H24" s="13" t="str">
        <x:v>-</x:v>
      </x:c>
      <x:c r="I24" s="13" t="str">
        <x:v>Synthetic example: facts indicate matter is outside ordinary barangay conciliation or needs another forum.</x:v>
      </x:c>
      <x:c r="J24" s="13" t="str">
        <x:v>Review</x:v>
      </x:c>
      <x:c r="K24" s="13" t="str">
        <x:v>NON_KP_REVIEW</x:v>
      </x:c>
      <x:c r="L24" s="13" t="str">
        <x:v>Needs legal/KP eligibility review</x:v>
      </x:c>
      <x:c r="M24" s="13" t="str">
        <x:v>Flag as outside ordinary KP and route to proper agency or legal review</x:v>
      </x:c>
      <x:c r="N24" s="13" t="str">
        <x:v>Outside ordinary KP coverage or lacks required barangay jurisdiction facts.</x:v>
      </x:c>
      <x:c r="O24" s="13" t="str"/>
      <x:c r="P24" s="13" t="str">
        <x:v>Insurance claim dispute na dapat idaan sa insurer/regulator</x:v>
      </x:c>
      <x:c r="Q24" s="13" t="str">
        <x:v>Added to balance 'outside-KP' to 49 examples using the same Justice KP label schema.</x:v>
      </x:c>
      <x:c r="R24" s="13" t="str">
        <x:v>Synthetic row based on category coverage gap from uploaded PDF</x:v>
      </x:c>
    </x:row>
    <x:row r="25" ht="36" customHeight="1">
      <x:c r="A25" s="13" t="str">
        <x:v>SYN-OUT-011</x:v>
      </x:c>
      <x:c r="B25" s="13" t="str">
        <x:v>outside-KP</x:v>
      </x:c>
      <x:c r="C25" s="13" t="str">
        <x:v>Synthetic</x:v>
      </x:c>
      <x:c r="D25" s="13" t="str"/>
      <x:c r="E25" s="13" t="str">
        <x:v>Review</x:v>
      </x:c>
      <x:c r="F25" s="13" t="str">
        <x:v>Aksidenteng kinasasangkutan ng sasakyan na kailangan ng police report</x:v>
      </x:c>
      <x:c r="G25" s="13" t="str">
        <x:v>February 8, 2026</x:v>
      </x:c>
      <x:c r="H25" s="13" t="str">
        <x:v>-</x:v>
      </x:c>
      <x:c r="I25" s="13" t="str">
        <x:v>Synthetic example: facts indicate matter is outside ordinary barangay conciliation or needs another forum.</x:v>
      </x:c>
      <x:c r="J25" s="13" t="str">
        <x:v>Review</x:v>
      </x:c>
      <x:c r="K25" s="13" t="str">
        <x:v>NON_KP_REVIEW</x:v>
      </x:c>
      <x:c r="L25" s="13" t="str">
        <x:v>Needs legal/KP eligibility review</x:v>
      </x:c>
      <x:c r="M25" s="13" t="str">
        <x:v>Flag as outside ordinary KP and route to proper agency or legal review</x:v>
      </x:c>
      <x:c r="N25" s="13" t="str">
        <x:v>Outside ordinary KP coverage or lacks required barangay jurisdiction facts.</x:v>
      </x:c>
      <x:c r="O25" s="13" t="str"/>
      <x:c r="P25" s="13" t="str">
        <x:v>Aksidenteng kinasasangkutan ng sasakyan na kailangan ng police report</x:v>
      </x:c>
      <x:c r="Q25" s="13" t="str">
        <x:v>Added to balance 'outside-KP' to 49 examples using the same Justice KP label schema.</x:v>
      </x:c>
      <x:c r="R25" s="13" t="str">
        <x:v>Synthetic row based on category coverage gap from uploaded PDF</x:v>
      </x:c>
    </x:row>
    <x:row r="26" ht="36" customHeight="1">
      <x:c r="A26" s="13" t="str">
        <x:v>SYN-OUT-012</x:v>
      </x:c>
      <x:c r="B26" s="13" t="str">
        <x:v>outside-KP</x:v>
      </x:c>
      <x:c r="C26" s="13" t="str">
        <x:v>Synthetic</x:v>
      </x:c>
      <x:c r="D26" s="13" t="str"/>
      <x:c r="E26" s="13" t="str">
        <x:v>Review</x:v>
      </x:c>
      <x:c r="F26" s="13" t="str">
        <x:v>Usaping corporate contract na hindi personal na barangay dispute</x:v>
      </x:c>
      <x:c r="G26" s="13" t="str">
        <x:v>February 11, 2026</x:v>
      </x:c>
      <x:c r="H26" s="13" t="str">
        <x:v>-</x:v>
      </x:c>
      <x:c r="I26" s="13" t="str">
        <x:v>Synthetic example: facts indicate matter is outside ordinary barangay conciliation or needs another forum.</x:v>
      </x:c>
      <x:c r="J26" s="13" t="str">
        <x:v>Review</x:v>
      </x:c>
      <x:c r="K26" s="13" t="str">
        <x:v>NON_KP_REVIEW</x:v>
      </x:c>
      <x:c r="L26" s="13" t="str">
        <x:v>Needs legal/KP eligibility review</x:v>
      </x:c>
      <x:c r="M26" s="13" t="str">
        <x:v>Flag as outside ordinary KP and route to proper agency or legal review</x:v>
      </x:c>
      <x:c r="N26" s="13" t="str">
        <x:v>Outside ordinary KP coverage or lacks required barangay jurisdiction facts.</x:v>
      </x:c>
      <x:c r="O26" s="13" t="str"/>
      <x:c r="P26" s="13" t="str">
        <x:v>Usaping corporate contract na hindi personal na barangay dispute</x:v>
      </x:c>
      <x:c r="Q26" s="13" t="str">
        <x:v>Added to balance 'outside-KP' to 49 examples using the same Justice KP label schema.</x:v>
      </x:c>
      <x:c r="R26" s="13" t="str">
        <x:v>Synthetic row based on category coverage gap from uploaded PDF</x:v>
      </x:c>
    </x:row>
    <x:row r="27" ht="36" customHeight="1">
      <x:c r="A27" s="13" t="str">
        <x:v>SYN-OUT-013</x:v>
      </x:c>
      <x:c r="B27" s="13" t="str">
        <x:v>outside-KP</x:v>
      </x:c>
      <x:c r="C27" s="13" t="str">
        <x:v>Synthetic</x:v>
      </x:c>
      <x:c r="D27" s="13" t="str"/>
      <x:c r="E27" s="13" t="str">
        <x:v>Review</x:v>
      </x:c>
      <x:c r="F27" s="13" t="str">
        <x:v>Reklamo sa online scam na hindi kilala ang respondent</x:v>
      </x:c>
      <x:c r="G27" s="13" t="str">
        <x:v>February 14, 2026</x:v>
      </x:c>
      <x:c r="H27" s="13" t="str">
        <x:v>-</x:v>
      </x:c>
      <x:c r="I27" s="13" t="str">
        <x:v>Synthetic example: facts indicate matter is outside ordinary barangay conciliation or needs another forum.</x:v>
      </x:c>
      <x:c r="J27" s="13" t="str">
        <x:v>Review</x:v>
      </x:c>
      <x:c r="K27" s="13" t="str">
        <x:v>NON_KP_REVIEW</x:v>
      </x:c>
      <x:c r="L27" s="13" t="str">
        <x:v>Needs legal/KP eligibility review</x:v>
      </x:c>
      <x:c r="M27" s="13" t="str">
        <x:v>Flag as outside ordinary KP and route to proper agency or legal review</x:v>
      </x:c>
      <x:c r="N27" s="13" t="str">
        <x:v>Outside ordinary KP coverage or lacks required barangay jurisdiction facts.</x:v>
      </x:c>
      <x:c r="O27" s="13" t="str"/>
      <x:c r="P27" s="13" t="str">
        <x:v>Reklamo sa online scam na hindi kilala ang respondent</x:v>
      </x:c>
      <x:c r="Q27" s="13" t="str">
        <x:v>Added to balance 'outside-KP' to 49 examples using the same Justice KP label schema.</x:v>
      </x:c>
      <x:c r="R27" s="13" t="str">
        <x:v>Synthetic row based on category coverage gap from uploaded PDF</x:v>
      </x:c>
    </x:row>
    <x:row r="28" ht="36" customHeight="1">
      <x:c r="A28" s="13" t="str">
        <x:v>SYN-OUT-014</x:v>
      </x:c>
      <x:c r="B28" s="13" t="str">
        <x:v>outside-KP</x:v>
      </x:c>
      <x:c r="C28" s="13" t="str">
        <x:v>Synthetic</x:v>
      </x:c>
      <x:c r="D28" s="13" t="str"/>
      <x:c r="E28" s="13" t="str">
        <x:v>Review</x:v>
      </x:c>
      <x:c r="F28" s="13" t="str">
        <x:v>Away na ang respondent ay residente ng ibang lungsod at hindi sakop</x:v>
      </x:c>
      <x:c r="G28" s="13" t="str">
        <x:v>February 17, 2026</x:v>
      </x:c>
      <x:c r="H28" s="13" t="str">
        <x:v>-</x:v>
      </x:c>
      <x:c r="I28" s="13" t="str">
        <x:v>Synthetic example: facts indicate matter is outside ordinary barangay conciliation or needs another forum.</x:v>
      </x:c>
      <x:c r="J28" s="13" t="str">
        <x:v>Review</x:v>
      </x:c>
      <x:c r="K28" s="13" t="str">
        <x:v>NON_KP_REVIEW</x:v>
      </x:c>
      <x:c r="L28" s="13" t="str">
        <x:v>Needs legal/KP eligibility review</x:v>
      </x:c>
      <x:c r="M28" s="13" t="str">
        <x:v>Flag as outside ordinary KP and route to proper agency or legal review</x:v>
      </x:c>
      <x:c r="N28" s="13" t="str">
        <x:v>Outside ordinary KP coverage or lacks required barangay jurisdiction facts.</x:v>
      </x:c>
      <x:c r="O28" s="13" t="str"/>
      <x:c r="P28" s="13" t="str">
        <x:v>Away na ang respondent ay residente ng ibang lungsod at hindi sakop</x:v>
      </x:c>
      <x:c r="Q28" s="13" t="str">
        <x:v>Added to balance 'outside-KP' to 49 examples using the same Justice KP label schema.</x:v>
      </x:c>
      <x:c r="R28" s="13" t="str">
        <x:v>Synthetic row based on category coverage gap from uploaded PDF</x:v>
      </x:c>
    </x:row>
    <x:row r="29" ht="36" customHeight="1">
      <x:c r="A29" s="13" t="str">
        <x:v>SYN-OUT-015</x:v>
      </x:c>
      <x:c r="B29" s="13" t="str">
        <x:v>outside-KP</x:v>
      </x:c>
      <x:c r="C29" s="13" t="str">
        <x:v>Synthetic</x:v>
      </x:c>
      <x:c r="D29" s="13" t="str"/>
      <x:c r="E29" s="13" t="str">
        <x:v>Review</x:v>
      </x:c>
      <x:c r="F29" s="13" t="str">
        <x:v>Cyber-related complaint na nangangailangan ng specialized investigation</x:v>
      </x:c>
      <x:c r="G29" s="13" t="str">
        <x:v>February 20, 2026</x:v>
      </x:c>
      <x:c r="H29" s="13" t="str">
        <x:v>-</x:v>
      </x:c>
      <x:c r="I29" s="13" t="str">
        <x:v>Synthetic example: facts indicate matter is outside ordinary barangay conciliation or needs another forum.</x:v>
      </x:c>
      <x:c r="J29" s="13" t="str">
        <x:v>Review</x:v>
      </x:c>
      <x:c r="K29" s="13" t="str">
        <x:v>NON_KP_REVIEW</x:v>
      </x:c>
      <x:c r="L29" s="13" t="str">
        <x:v>Needs legal/KP eligibility review</x:v>
      </x:c>
      <x:c r="M29" s="13" t="str">
        <x:v>Flag as outside ordinary KP and route to proper agency or legal review</x:v>
      </x:c>
      <x:c r="N29" s="13" t="str">
        <x:v>Outside ordinary KP coverage or lacks required barangay jurisdiction facts.</x:v>
      </x:c>
      <x:c r="O29" s="13" t="str"/>
      <x:c r="P29" s="13" t="str">
        <x:v>Cyber-related complaint na nangangailangan ng specialized investigation</x:v>
      </x:c>
      <x:c r="Q29" s="13" t="str">
        <x:v>Added to balance 'outside-KP' to 49 examples using the same Justice KP label schema.</x:v>
      </x:c>
      <x:c r="R29" s="13" t="str">
        <x:v>Synthetic row based on category coverage gap from uploaded PDF</x:v>
      </x:c>
    </x:row>
    <x:row r="30" ht="36" customHeight="1">
      <x:c r="A30" s="13" t="str">
        <x:v>SYN-OUT-016</x:v>
      </x:c>
      <x:c r="B30" s="13" t="str">
        <x:v>outside-KP</x:v>
      </x:c>
      <x:c r="C30" s="13" t="str">
        <x:v>Synthetic</x:v>
      </x:c>
      <x:c r="D30" s="13" t="str"/>
      <x:c r="E30" s="13" t="str">
        <x:v>Review</x:v>
      </x:c>
      <x:c r="F30" s="13" t="str">
        <x:v>Dispute sa lupa na may titulo at kailangan ng korte/registrar</x:v>
      </x:c>
      <x:c r="G30" s="13" t="str">
        <x:v>February 23, 2026</x:v>
      </x:c>
      <x:c r="H30" s="13" t="str">
        <x:v>-</x:v>
      </x:c>
      <x:c r="I30" s="13" t="str">
        <x:v>Synthetic example: facts indicate matter is outside ordinary barangay conciliation or needs another forum.</x:v>
      </x:c>
      <x:c r="J30" s="13" t="str">
        <x:v>Review</x:v>
      </x:c>
      <x:c r="K30" s="13" t="str">
        <x:v>NON_KP_REVIEW</x:v>
      </x:c>
      <x:c r="L30" s="13" t="str">
        <x:v>Needs legal/KP eligibility review</x:v>
      </x:c>
      <x:c r="M30" s="13" t="str">
        <x:v>Flag as outside ordinary KP and route to proper agency or legal review</x:v>
      </x:c>
      <x:c r="N30" s="13" t="str">
        <x:v>Outside ordinary KP coverage or lacks required barangay jurisdiction facts.</x:v>
      </x:c>
      <x:c r="O30" s="13" t="str"/>
      <x:c r="P30" s="13" t="str">
        <x:v>Dispute sa lupa na may titulo at kailangan ng korte/registrar</x:v>
      </x:c>
      <x:c r="Q30" s="13" t="str">
        <x:v>Added to balance 'outside-KP' to 49 examples using the same Justice KP label schema.</x:v>
      </x:c>
      <x:c r="R30" s="13" t="str">
        <x:v>Synthetic row based on category coverage gap from uploaded PDF</x:v>
      </x:c>
    </x:row>
    <x:row r="31" ht="36" customHeight="1">
      <x:c r="A31" s="13" t="str">
        <x:v>SYN-OUT-017</x:v>
      </x:c>
      <x:c r="B31" s="13" t="str">
        <x:v>outside-KP</x:v>
      </x:c>
      <x:c r="C31" s="13" t="str">
        <x:v>Synthetic</x:v>
      </x:c>
      <x:c r="D31" s="13" t="str"/>
      <x:c r="E31" s="13" t="str">
        <x:v>Review</x:v>
      </x:c>
      <x:c r="F31" s="13" t="str">
        <x:v>Reklamo tungkol sa employment dismissal sa pribadong kumpanya</x:v>
      </x:c>
      <x:c r="G31" s="13" t="str">
        <x:v>February 26, 2026</x:v>
      </x:c>
      <x:c r="H31" s="13" t="str">
        <x:v>-</x:v>
      </x:c>
      <x:c r="I31" s="13" t="str">
        <x:v>Synthetic example: facts indicate matter is outside ordinary barangay conciliation or needs another forum.</x:v>
      </x:c>
      <x:c r="J31" s="13" t="str">
        <x:v>Review</x:v>
      </x:c>
      <x:c r="K31" s="13" t="str">
        <x:v>NON_KP_REVIEW</x:v>
      </x:c>
      <x:c r="L31" s="13" t="str">
        <x:v>Needs legal/KP eligibility review</x:v>
      </x:c>
      <x:c r="M31" s="13" t="str">
        <x:v>Flag as outside ordinary KP and route to proper agency or legal review</x:v>
      </x:c>
      <x:c r="N31" s="13" t="str">
        <x:v>Outside ordinary KP coverage or lacks required barangay jurisdiction facts.</x:v>
      </x:c>
      <x:c r="O31" s="13" t="str"/>
      <x:c r="P31" s="13" t="str">
        <x:v>Reklamo tungkol sa employment dismissal sa pribadong kumpanya</x:v>
      </x:c>
      <x:c r="Q31" s="13" t="str">
        <x:v>Added to balance 'outside-KP' to 49 examples using the same Justice KP label schema.</x:v>
      </x:c>
      <x:c r="R31" s="13" t="str">
        <x:v>Synthetic row based on category coverage gap from uploaded PDF</x:v>
      </x:c>
    </x:row>
    <x:row r="32" ht="36" customHeight="1">
      <x:c r="A32" s="13" t="str">
        <x:v>SYN-OUT-018</x:v>
      </x:c>
      <x:c r="B32" s="13" t="str">
        <x:v>outside-KP</x:v>
      </x:c>
      <x:c r="C32" s="13" t="str">
        <x:v>Synthetic</x:v>
      </x:c>
      <x:c r="D32" s="13" t="str"/>
      <x:c r="E32" s="13" t="str">
        <x:v>Review</x:v>
      </x:c>
      <x:c r="F32" s="13" t="str">
        <x:v>Alitan sa negosyo na may written arbitration clause</x:v>
      </x:c>
      <x:c r="G32" s="13" t="str">
        <x:v>March 1, 2026</x:v>
      </x:c>
      <x:c r="H32" s="13" t="str">
        <x:v>-</x:v>
      </x:c>
      <x:c r="I32" s="13" t="str">
        <x:v>Synthetic example: facts indicate matter is outside ordinary barangay conciliation or needs another forum.</x:v>
      </x:c>
      <x:c r="J32" s="13" t="str">
        <x:v>Review</x:v>
      </x:c>
      <x:c r="K32" s="13" t="str">
        <x:v>NON_KP_REVIEW</x:v>
      </x:c>
      <x:c r="L32" s="13" t="str">
        <x:v>Needs legal/KP eligibility review</x:v>
      </x:c>
      <x:c r="M32" s="13" t="str">
        <x:v>Flag as outside ordinary KP and route to proper agency or legal review</x:v>
      </x:c>
      <x:c r="N32" s="13" t="str">
        <x:v>Outside ordinary KP coverage or lacks required barangay jurisdiction facts.</x:v>
      </x:c>
      <x:c r="O32" s="13" t="str"/>
      <x:c r="P32" s="13" t="str">
        <x:v>Alitan sa negosyo na may written arbitration clause</x:v>
      </x:c>
      <x:c r="Q32" s="13" t="str">
        <x:v>Added to balance 'outside-KP' to 49 examples using the same Justice KP label schema.</x:v>
      </x:c>
      <x:c r="R32" s="13" t="str">
        <x:v>Synthetic row based on category coverage gap from uploaded PDF</x:v>
      </x:c>
    </x:row>
    <x:row r="33" ht="36" customHeight="1">
      <x:c r="A33" s="13" t="str">
        <x:v>SYN-OUT-019</x:v>
      </x:c>
      <x:c r="B33" s="13" t="str">
        <x:v>outside-KP</x:v>
      </x:c>
      <x:c r="C33" s="13" t="str">
        <x:v>Synthetic</x:v>
      </x:c>
      <x:c r="D33" s="13" t="str"/>
      <x:c r="E33" s="13" t="str">
        <x:v>Review</x:v>
      </x:c>
      <x:c r="F33" s="13" t="str">
        <x:v>Reklamo laban sa hindi matukoy na online account</x:v>
      </x:c>
      <x:c r="G33" s="13" t="str">
        <x:v>March 4, 2026</x:v>
      </x:c>
      <x:c r="H33" s="13" t="str">
        <x:v>-</x:v>
      </x:c>
      <x:c r="I33" s="13" t="str">
        <x:v>Synthetic example: facts indicate matter is outside ordinary barangay conciliation or needs another forum.</x:v>
      </x:c>
      <x:c r="J33" s="13" t="str">
        <x:v>Review</x:v>
      </x:c>
      <x:c r="K33" s="13" t="str">
        <x:v>NON_KP_REVIEW</x:v>
      </x:c>
      <x:c r="L33" s="13" t="str">
        <x:v>Needs legal/KP eligibility review</x:v>
      </x:c>
      <x:c r="M33" s="13" t="str">
        <x:v>Flag as outside ordinary KP and route to proper agency or legal review</x:v>
      </x:c>
      <x:c r="N33" s="13" t="str">
        <x:v>Outside ordinary KP coverage or lacks required barangay jurisdiction facts.</x:v>
      </x:c>
      <x:c r="O33" s="13" t="str"/>
      <x:c r="P33" s="13" t="str">
        <x:v>Reklamo laban sa hindi matukoy na online account</x:v>
      </x:c>
      <x:c r="Q33" s="13" t="str">
        <x:v>Added to balance 'outside-KP' to 49 examples using the same Justice KP label schema.</x:v>
      </x:c>
      <x:c r="R33" s="13" t="str">
        <x:v>Synthetic row based on category coverage gap from uploaded PDF</x:v>
      </x:c>
    </x:row>
    <x:row r="34" ht="36" customHeight="1">
      <x:c r="A34" s="13" t="str">
        <x:v>SYN-OUT-020</x:v>
      </x:c>
      <x:c r="B34" s="13" t="str">
        <x:v>outside-KP</x:v>
      </x:c>
      <x:c r="C34" s="13" t="str">
        <x:v>Synthetic</x:v>
      </x:c>
      <x:c r="D34" s="13" t="str"/>
      <x:c r="E34" s="13" t="str">
        <x:v>Review</x:v>
      </x:c>
      <x:c r="F34" s="13" t="str">
        <x:v>Insurance claim dispute na dapat idaan sa insurer/regulator</x:v>
      </x:c>
      <x:c r="G34" s="13" t="str">
        <x:v>March 7, 2026</x:v>
      </x:c>
      <x:c r="H34" s="13" t="str">
        <x:v>-</x:v>
      </x:c>
      <x:c r="I34" s="13" t="str">
        <x:v>Synthetic example: facts indicate matter is outside ordinary barangay conciliation or needs another forum.</x:v>
      </x:c>
      <x:c r="J34" s="13" t="str">
        <x:v>Review</x:v>
      </x:c>
      <x:c r="K34" s="13" t="str">
        <x:v>NON_KP_REVIEW</x:v>
      </x:c>
      <x:c r="L34" s="13" t="str">
        <x:v>Needs legal/KP eligibility review</x:v>
      </x:c>
      <x:c r="M34" s="13" t="str">
        <x:v>Flag as outside ordinary KP and route to proper agency or legal review</x:v>
      </x:c>
      <x:c r="N34" s="13" t="str">
        <x:v>Outside ordinary KP coverage or lacks required barangay jurisdiction facts.</x:v>
      </x:c>
      <x:c r="O34" s="13" t="str"/>
      <x:c r="P34" s="13" t="str">
        <x:v>Insurance claim dispute na dapat idaan sa insurer/regulator</x:v>
      </x:c>
      <x:c r="Q34" s="13" t="str">
        <x:v>Added to balance 'outside-KP' to 49 examples using the same Justice KP label schema.</x:v>
      </x:c>
      <x:c r="R34" s="13" t="str">
        <x:v>Synthetic row based on category coverage gap from uploaded PDF</x:v>
      </x:c>
    </x:row>
    <x:row r="35" ht="36" customHeight="1">
      <x:c r="A35" s="13" t="str">
        <x:v>SYN-OUT-021</x:v>
      </x:c>
      <x:c r="B35" s="13" t="str">
        <x:v>outside-KP</x:v>
      </x:c>
      <x:c r="C35" s="13" t="str">
        <x:v>Synthetic</x:v>
      </x:c>
      <x:c r="D35" s="13" t="str"/>
      <x:c r="E35" s="13" t="str">
        <x:v>Review</x:v>
      </x:c>
      <x:c r="F35" s="13" t="str">
        <x:v>Aksidenteng kinasasangkutan ng sasakyan na kailangan ng police report</x:v>
      </x:c>
      <x:c r="G35" s="13" t="str">
        <x:v>March 10, 2026</x:v>
      </x:c>
      <x:c r="H35" s="13" t="str">
        <x:v>-</x:v>
      </x:c>
      <x:c r="I35" s="13" t="str">
        <x:v>Synthetic example: facts indicate matter is outside ordinary barangay conciliation or needs another forum.</x:v>
      </x:c>
      <x:c r="J35" s="13" t="str">
        <x:v>Review</x:v>
      </x:c>
      <x:c r="K35" s="13" t="str">
        <x:v>NON_KP_REVIEW</x:v>
      </x:c>
      <x:c r="L35" s="13" t="str">
        <x:v>Needs legal/KP eligibility review</x:v>
      </x:c>
      <x:c r="M35" s="13" t="str">
        <x:v>Flag as outside ordinary KP and route to proper agency or legal review</x:v>
      </x:c>
      <x:c r="N35" s="13" t="str">
        <x:v>Outside ordinary KP coverage or lacks required barangay jurisdiction facts.</x:v>
      </x:c>
      <x:c r="O35" s="13" t="str"/>
      <x:c r="P35" s="13" t="str">
        <x:v>Aksidenteng kinasasangkutan ng sasakyan na kailangan ng police report</x:v>
      </x:c>
      <x:c r="Q35" s="13" t="str">
        <x:v>Added to balance 'outside-KP' to 49 examples using the same Justice KP label schema.</x:v>
      </x:c>
      <x:c r="R35" s="13" t="str">
        <x:v>Synthetic row based on category coverage gap from uploaded PDF</x:v>
      </x:c>
    </x:row>
    <x:row r="36" ht="36" customHeight="1">
      <x:c r="A36" s="13" t="str">
        <x:v>SYN-OUT-022</x:v>
      </x:c>
      <x:c r="B36" s="13" t="str">
        <x:v>outside-KP</x:v>
      </x:c>
      <x:c r="C36" s="13" t="str">
        <x:v>Synthetic</x:v>
      </x:c>
      <x:c r="D36" s="13" t="str"/>
      <x:c r="E36" s="13" t="str">
        <x:v>Review</x:v>
      </x:c>
      <x:c r="F36" s="13" t="str">
        <x:v>Usaping corporate contract na hindi personal na barangay dispute</x:v>
      </x:c>
      <x:c r="G36" s="13" t="str">
        <x:v>March 13, 2026</x:v>
      </x:c>
      <x:c r="H36" s="13" t="str">
        <x:v>-</x:v>
      </x:c>
      <x:c r="I36" s="13" t="str">
        <x:v>Synthetic example: facts indicate matter is outside ordinary barangay conciliation or needs another forum.</x:v>
      </x:c>
      <x:c r="J36" s="13" t="str">
        <x:v>Review</x:v>
      </x:c>
      <x:c r="K36" s="13" t="str">
        <x:v>NON_KP_REVIEW</x:v>
      </x:c>
      <x:c r="L36" s="13" t="str">
        <x:v>Needs legal/KP eligibility review</x:v>
      </x:c>
      <x:c r="M36" s="13" t="str">
        <x:v>Flag as outside ordinary KP and route to proper agency or legal review</x:v>
      </x:c>
      <x:c r="N36" s="13" t="str">
        <x:v>Outside ordinary KP coverage or lacks required barangay jurisdiction facts.</x:v>
      </x:c>
      <x:c r="O36" s="13" t="str"/>
      <x:c r="P36" s="13" t="str">
        <x:v>Usaping corporate contract na hindi personal na barangay dispute</x:v>
      </x:c>
      <x:c r="Q36" s="13" t="str">
        <x:v>Added to balance 'outside-KP' to 49 examples using the same Justice KP label schema.</x:v>
      </x:c>
      <x:c r="R36" s="13" t="str">
        <x:v>Synthetic row based on category coverage gap from uploaded PDF</x:v>
      </x:c>
    </x:row>
    <x:row r="37" ht="36" customHeight="1">
      <x:c r="A37" s="13" t="str">
        <x:v>SYN-OUT-023</x:v>
      </x:c>
      <x:c r="B37" s="13" t="str">
        <x:v>outside-KP</x:v>
      </x:c>
      <x:c r="C37" s="13" t="str">
        <x:v>Synthetic</x:v>
      </x:c>
      <x:c r="D37" s="13" t="str"/>
      <x:c r="E37" s="13" t="str">
        <x:v>Review</x:v>
      </x:c>
      <x:c r="F37" s="13" t="str">
        <x:v>Reklamo sa online scam na hindi kilala ang respondent</x:v>
      </x:c>
      <x:c r="G37" s="13" t="str">
        <x:v>March 16, 2026</x:v>
      </x:c>
      <x:c r="H37" s="13" t="str">
        <x:v>-</x:v>
      </x:c>
      <x:c r="I37" s="13" t="str">
        <x:v>Synthetic example: facts indicate matter is outside ordinary barangay conciliation or needs another forum.</x:v>
      </x:c>
      <x:c r="J37" s="13" t="str">
        <x:v>Review</x:v>
      </x:c>
      <x:c r="K37" s="13" t="str">
        <x:v>NON_KP_REVIEW</x:v>
      </x:c>
      <x:c r="L37" s="13" t="str">
        <x:v>Needs legal/KP eligibility review</x:v>
      </x:c>
      <x:c r="M37" s="13" t="str">
        <x:v>Flag as outside ordinary KP and route to proper agency or legal review</x:v>
      </x:c>
      <x:c r="N37" s="13" t="str">
        <x:v>Outside ordinary KP coverage or lacks required barangay jurisdiction facts.</x:v>
      </x:c>
      <x:c r="O37" s="13" t="str"/>
      <x:c r="P37" s="13" t="str">
        <x:v>Reklamo sa online scam na hindi kilala ang respondent</x:v>
      </x:c>
      <x:c r="Q37" s="13" t="str">
        <x:v>Added to balance 'outside-KP' to 49 examples using the same Justice KP label schema.</x:v>
      </x:c>
      <x:c r="R37" s="13" t="str">
        <x:v>Synthetic row based on category coverage gap from uploaded PDF</x:v>
      </x:c>
    </x:row>
    <x:row r="38" ht="36" customHeight="1">
      <x:c r="A38" s="13" t="str">
        <x:v>SYN-OUT-024</x:v>
      </x:c>
      <x:c r="B38" s="13" t="str">
        <x:v>outside-KP</x:v>
      </x:c>
      <x:c r="C38" s="13" t="str">
        <x:v>Synthetic</x:v>
      </x:c>
      <x:c r="D38" s="13" t="str"/>
      <x:c r="E38" s="13" t="str">
        <x:v>Review</x:v>
      </x:c>
      <x:c r="F38" s="13" t="str">
        <x:v>Away na ang respondent ay residente ng ibang lungsod at hindi sakop</x:v>
      </x:c>
      <x:c r="G38" s="13" t="str">
        <x:v>March 19, 2026</x:v>
      </x:c>
      <x:c r="H38" s="13" t="str">
        <x:v>-</x:v>
      </x:c>
      <x:c r="I38" s="13" t="str">
        <x:v>Synthetic example: facts indicate matter is outside ordinary barangay conciliation or needs another forum.</x:v>
      </x:c>
      <x:c r="J38" s="13" t="str">
        <x:v>Review</x:v>
      </x:c>
      <x:c r="K38" s="13" t="str">
        <x:v>NON_KP_REVIEW</x:v>
      </x:c>
      <x:c r="L38" s="13" t="str">
        <x:v>Needs legal/KP eligibility review</x:v>
      </x:c>
      <x:c r="M38" s="13" t="str">
        <x:v>Flag as outside ordinary KP and route to proper agency or legal review</x:v>
      </x:c>
      <x:c r="N38" s="13" t="str">
        <x:v>Outside ordinary KP coverage or lacks required barangay jurisdiction facts.</x:v>
      </x:c>
      <x:c r="O38" s="13" t="str"/>
      <x:c r="P38" s="13" t="str">
        <x:v>Away na ang respondent ay residente ng ibang lungsod at hindi sakop</x:v>
      </x:c>
      <x:c r="Q38" s="13" t="str">
        <x:v>Added to balance 'outside-KP' to 49 examples using the same Justice KP label schema.</x:v>
      </x:c>
      <x:c r="R38" s="13" t="str">
        <x:v>Synthetic row based on category coverage gap from uploaded PDF</x:v>
      </x:c>
    </x:row>
    <x:row r="39" ht="36" customHeight="1">
      <x:c r="A39" s="13" t="str">
        <x:v>SYN-OUT-025</x:v>
      </x:c>
      <x:c r="B39" s="13" t="str">
        <x:v>outside-KP</x:v>
      </x:c>
      <x:c r="C39" s="13" t="str">
        <x:v>Synthetic</x:v>
      </x:c>
      <x:c r="D39" s="13" t="str"/>
      <x:c r="E39" s="13" t="str">
        <x:v>Review</x:v>
      </x:c>
      <x:c r="F39" s="13" t="str">
        <x:v>Cyber-related complaint na nangangailangan ng specialized investigation</x:v>
      </x:c>
      <x:c r="G39" s="13" t="str">
        <x:v>March 22, 2026</x:v>
      </x:c>
      <x:c r="H39" s="13" t="str">
        <x:v>-</x:v>
      </x:c>
      <x:c r="I39" s="13" t="str">
        <x:v>Synthetic example: facts indicate matter is outside ordinary barangay conciliation or needs another forum.</x:v>
      </x:c>
      <x:c r="J39" s="13" t="str">
        <x:v>Review</x:v>
      </x:c>
      <x:c r="K39" s="13" t="str">
        <x:v>NON_KP_REVIEW</x:v>
      </x:c>
      <x:c r="L39" s="13" t="str">
        <x:v>Needs legal/KP eligibility review</x:v>
      </x:c>
      <x:c r="M39" s="13" t="str">
        <x:v>Flag as outside ordinary KP and route to proper agency or legal review</x:v>
      </x:c>
      <x:c r="N39" s="13" t="str">
        <x:v>Outside ordinary KP coverage or lacks required barangay jurisdiction facts.</x:v>
      </x:c>
      <x:c r="O39" s="13" t="str"/>
      <x:c r="P39" s="13" t="str">
        <x:v>Cyber-related complaint na nangangailangan ng specialized investigation</x:v>
      </x:c>
      <x:c r="Q39" s="13" t="str">
        <x:v>Added to balance 'outside-KP' to 49 examples using the same Justice KP label schema.</x:v>
      </x:c>
      <x:c r="R39" s="13" t="str">
        <x:v>Synthetic row based on category coverage gap from uploaded PDF</x:v>
      </x:c>
    </x:row>
    <x:row r="40" ht="36" customHeight="1">
      <x:c r="A40" s="13" t="str">
        <x:v>SYN-OUT-026</x:v>
      </x:c>
      <x:c r="B40" s="13" t="str">
        <x:v>outside-KP</x:v>
      </x:c>
      <x:c r="C40" s="13" t="str">
        <x:v>Synthetic</x:v>
      </x:c>
      <x:c r="D40" s="13" t="str"/>
      <x:c r="E40" s="13" t="str">
        <x:v>Review</x:v>
      </x:c>
      <x:c r="F40" s="13" t="str">
        <x:v>Dispute sa lupa na may titulo at kailangan ng korte/registrar</x:v>
      </x:c>
      <x:c r="G40" s="13" t="str">
        <x:v>March 25, 2026</x:v>
      </x:c>
      <x:c r="H40" s="13" t="str">
        <x:v>-</x:v>
      </x:c>
      <x:c r="I40" s="13" t="str">
        <x:v>Synthetic example: facts indicate matter is outside ordinary barangay conciliation or needs another forum.</x:v>
      </x:c>
      <x:c r="J40" s="13" t="str">
        <x:v>Review</x:v>
      </x:c>
      <x:c r="K40" s="13" t="str">
        <x:v>NON_KP_REVIEW</x:v>
      </x:c>
      <x:c r="L40" s="13" t="str">
        <x:v>Needs legal/KP eligibility review</x:v>
      </x:c>
      <x:c r="M40" s="13" t="str">
        <x:v>Flag as outside ordinary KP and route to proper agency or legal review</x:v>
      </x:c>
      <x:c r="N40" s="13" t="str">
        <x:v>Outside ordinary KP coverage or lacks required barangay jurisdiction facts.</x:v>
      </x:c>
      <x:c r="O40" s="13" t="str"/>
      <x:c r="P40" s="13" t="str">
        <x:v>Dispute sa lupa na may titulo at kailangan ng korte/registrar</x:v>
      </x:c>
      <x:c r="Q40" s="13" t="str">
        <x:v>Added to balance 'outside-KP' to 49 examples using the same Justice KP label schema.</x:v>
      </x:c>
      <x:c r="R40" s="13" t="str">
        <x:v>Synthetic row based on category coverage gap from uploaded PDF</x:v>
      </x:c>
    </x:row>
    <x:row r="41" ht="36" customHeight="1">
      <x:c r="A41" s="13" t="str">
        <x:v>SYN-OUT-027</x:v>
      </x:c>
      <x:c r="B41" s="13" t="str">
        <x:v>outside-KP</x:v>
      </x:c>
      <x:c r="C41" s="13" t="str">
        <x:v>Synthetic</x:v>
      </x:c>
      <x:c r="D41" s="13" t="str"/>
      <x:c r="E41" s="13" t="str">
        <x:v>Review</x:v>
      </x:c>
      <x:c r="F41" s="13" t="str">
        <x:v>Reklamo tungkol sa employment dismissal sa pribadong kumpanya</x:v>
      </x:c>
      <x:c r="G41" s="13" t="str">
        <x:v>March 28, 2026</x:v>
      </x:c>
      <x:c r="H41" s="13" t="str">
        <x:v>-</x:v>
      </x:c>
      <x:c r="I41" s="13" t="str">
        <x:v>Synthetic example: facts indicate matter is outside ordinary barangay conciliation or needs another forum.</x:v>
      </x:c>
      <x:c r="J41" s="13" t="str">
        <x:v>Review</x:v>
      </x:c>
      <x:c r="K41" s="13" t="str">
        <x:v>NON_KP_REVIEW</x:v>
      </x:c>
      <x:c r="L41" s="13" t="str">
        <x:v>Needs legal/KP eligibility review</x:v>
      </x:c>
      <x:c r="M41" s="13" t="str">
        <x:v>Flag as outside ordinary KP and route to proper agency or legal review</x:v>
      </x:c>
      <x:c r="N41" s="13" t="str">
        <x:v>Outside ordinary KP coverage or lacks required barangay jurisdiction facts.</x:v>
      </x:c>
      <x:c r="O41" s="13" t="str"/>
      <x:c r="P41" s="13" t="str">
        <x:v>Reklamo tungkol sa employment dismissal sa pribadong kumpanya</x:v>
      </x:c>
      <x:c r="Q41" s="13" t="str">
        <x:v>Added to balance 'outside-KP' to 49 examples using the same Justice KP label schema.</x:v>
      </x:c>
      <x:c r="R41" s="13" t="str">
        <x:v>Synthetic row based on category coverage gap from uploaded PDF</x:v>
      </x:c>
    </x:row>
    <x:row r="42" ht="36" customHeight="1">
      <x:c r="A42" s="13" t="str">
        <x:v>SYN-OUT-028</x:v>
      </x:c>
      <x:c r="B42" s="13" t="str">
        <x:v>outside-KP</x:v>
      </x:c>
      <x:c r="C42" s="13" t="str">
        <x:v>Synthetic</x:v>
      </x:c>
      <x:c r="D42" s="13" t="str"/>
      <x:c r="E42" s="13" t="str">
        <x:v>Review</x:v>
      </x:c>
      <x:c r="F42" s="13" t="str">
        <x:v>Alitan sa negosyo na may written arbitration clause</x:v>
      </x:c>
      <x:c r="G42" s="13" t="str">
        <x:v>March 31, 2026</x:v>
      </x:c>
      <x:c r="H42" s="13" t="str">
        <x:v>-</x:v>
      </x:c>
      <x:c r="I42" s="13" t="str">
        <x:v>Synthetic example: facts indicate matter is outside ordinary barangay conciliation or needs another forum.</x:v>
      </x:c>
      <x:c r="J42" s="13" t="str">
        <x:v>Review</x:v>
      </x:c>
      <x:c r="K42" s="13" t="str">
        <x:v>NON_KP_REVIEW</x:v>
      </x:c>
      <x:c r="L42" s="13" t="str">
        <x:v>Needs legal/KP eligibility review</x:v>
      </x:c>
      <x:c r="M42" s="13" t="str">
        <x:v>Flag as outside ordinary KP and route to proper agency or legal review</x:v>
      </x:c>
      <x:c r="N42" s="13" t="str">
        <x:v>Outside ordinary KP coverage or lacks required barangay jurisdiction facts.</x:v>
      </x:c>
      <x:c r="O42" s="13" t="str"/>
      <x:c r="P42" s="13" t="str">
        <x:v>Alitan sa negosyo na may written arbitration clause</x:v>
      </x:c>
      <x:c r="Q42" s="13" t="str">
        <x:v>Added to balance 'outside-KP' to 49 examples using the same Justice KP label schema.</x:v>
      </x:c>
      <x:c r="R42" s="13" t="str">
        <x:v>Synthetic row based on category coverage gap from uploaded PDF</x:v>
      </x:c>
    </x:row>
    <x:row r="43" ht="36" customHeight="1">
      <x:c r="A43" s="13" t="str">
        <x:v>SYN-OUT-029</x:v>
      </x:c>
      <x:c r="B43" s="13" t="str">
        <x:v>outside-KP</x:v>
      </x:c>
      <x:c r="C43" s="13" t="str">
        <x:v>Synthetic</x:v>
      </x:c>
      <x:c r="D43" s="13" t="str"/>
      <x:c r="E43" s="13" t="str">
        <x:v>Review</x:v>
      </x:c>
      <x:c r="F43" s="13" t="str">
        <x:v>Reklamo laban sa hindi matukoy na online account</x:v>
      </x:c>
      <x:c r="G43" s="13" t="str">
        <x:v>April 3, 2026</x:v>
      </x:c>
      <x:c r="H43" s="13" t="str">
        <x:v>-</x:v>
      </x:c>
      <x:c r="I43" s="13" t="str">
        <x:v>Synthetic example: facts indicate matter is outside ordinary barangay conciliation or needs another forum.</x:v>
      </x:c>
      <x:c r="J43" s="13" t="str">
        <x:v>Review</x:v>
      </x:c>
      <x:c r="K43" s="13" t="str">
        <x:v>NON_KP_REVIEW</x:v>
      </x:c>
      <x:c r="L43" s="13" t="str">
        <x:v>Needs legal/KP eligibility review</x:v>
      </x:c>
      <x:c r="M43" s="13" t="str">
        <x:v>Flag as outside ordinary KP and route to proper agency or legal review</x:v>
      </x:c>
      <x:c r="N43" s="13" t="str">
        <x:v>Outside ordinary KP coverage or lacks required barangay jurisdiction facts.</x:v>
      </x:c>
      <x:c r="O43" s="13" t="str"/>
      <x:c r="P43" s="13" t="str">
        <x:v>Reklamo laban sa hindi matukoy na online account</x:v>
      </x:c>
      <x:c r="Q43" s="13" t="str">
        <x:v>Added to balance 'outside-KP' to 49 examples using the same Justice KP label schema.</x:v>
      </x:c>
      <x:c r="R43" s="13" t="str">
        <x:v>Synthetic row based on category coverage gap from uploaded PDF</x:v>
      </x:c>
    </x:row>
    <x:row r="44" ht="36" customHeight="1">
      <x:c r="A44" s="13" t="str">
        <x:v>SYN-OUT-030</x:v>
      </x:c>
      <x:c r="B44" s="13" t="str">
        <x:v>outside-KP</x:v>
      </x:c>
      <x:c r="C44" s="13" t="str">
        <x:v>Synthetic</x:v>
      </x:c>
      <x:c r="D44" s="13" t="str"/>
      <x:c r="E44" s="13" t="str">
        <x:v>Review</x:v>
      </x:c>
      <x:c r="F44" s="13" t="str">
        <x:v>Insurance claim dispute na dapat idaan sa insurer/regulator</x:v>
      </x:c>
      <x:c r="G44" s="13" t="str">
        <x:v>April 6, 2026</x:v>
      </x:c>
      <x:c r="H44" s="13" t="str">
        <x:v>-</x:v>
      </x:c>
      <x:c r="I44" s="13" t="str">
        <x:v>Synthetic example: facts indicate matter is outside ordinary barangay conciliation or needs another forum.</x:v>
      </x:c>
      <x:c r="J44" s="13" t="str">
        <x:v>Review</x:v>
      </x:c>
      <x:c r="K44" s="13" t="str">
        <x:v>NON_KP_REVIEW</x:v>
      </x:c>
      <x:c r="L44" s="13" t="str">
        <x:v>Needs legal/KP eligibility review</x:v>
      </x:c>
      <x:c r="M44" s="13" t="str">
        <x:v>Flag as outside ordinary KP and route to proper agency or legal review</x:v>
      </x:c>
      <x:c r="N44" s="13" t="str">
        <x:v>Outside ordinary KP coverage or lacks required barangay jurisdiction facts.</x:v>
      </x:c>
      <x:c r="O44" s="13" t="str"/>
      <x:c r="P44" s="13" t="str">
        <x:v>Insurance claim dispute na dapat idaan sa insurer/regulator</x:v>
      </x:c>
      <x:c r="Q44" s="13" t="str">
        <x:v>Added to balance 'outside-KP' to 49 examples using the same Justice KP label schema.</x:v>
      </x:c>
      <x:c r="R44" s="13" t="str">
        <x:v>Synthetic row based on category coverage gap from uploaded PDF</x:v>
      </x:c>
    </x:row>
    <x:row r="45" ht="36" customHeight="1">
      <x:c r="A45" s="13" t="str">
        <x:v>SYN-OUT-031</x:v>
      </x:c>
      <x:c r="B45" s="13" t="str">
        <x:v>outside-KP</x:v>
      </x:c>
      <x:c r="C45" s="13" t="str">
        <x:v>Synthetic</x:v>
      </x:c>
      <x:c r="D45" s="13" t="str"/>
      <x:c r="E45" s="13" t="str">
        <x:v>Review</x:v>
      </x:c>
      <x:c r="F45" s="13" t="str">
        <x:v>Aksidenteng kinasasangkutan ng sasakyan na kailangan ng police report</x:v>
      </x:c>
      <x:c r="G45" s="13" t="str">
        <x:v>April 9, 2026</x:v>
      </x:c>
      <x:c r="H45" s="13" t="str">
        <x:v>-</x:v>
      </x:c>
      <x:c r="I45" s="13" t="str">
        <x:v>Synthetic example: facts indicate matter is outside ordinary barangay conciliation or needs another forum.</x:v>
      </x:c>
      <x:c r="J45" s="13" t="str">
        <x:v>Review</x:v>
      </x:c>
      <x:c r="K45" s="13" t="str">
        <x:v>NON_KP_REVIEW</x:v>
      </x:c>
      <x:c r="L45" s="13" t="str">
        <x:v>Needs legal/KP eligibility review</x:v>
      </x:c>
      <x:c r="M45" s="13" t="str">
        <x:v>Flag as outside ordinary KP and route to proper agency or legal review</x:v>
      </x:c>
      <x:c r="N45" s="13" t="str">
        <x:v>Outside ordinary KP coverage or lacks required barangay jurisdiction facts.</x:v>
      </x:c>
      <x:c r="O45" s="13" t="str"/>
      <x:c r="P45" s="13" t="str">
        <x:v>Aksidenteng kinasasangkutan ng sasakyan na kailangan ng police report</x:v>
      </x:c>
      <x:c r="Q45" s="13" t="str">
        <x:v>Added to balance 'outside-KP' to 49 examples using the same Justice KP label schema.</x:v>
      </x:c>
      <x:c r="R45" s="13" t="str">
        <x:v>Synthetic row based on category coverage gap from uploaded PDF</x:v>
      </x:c>
    </x:row>
    <x:row r="46" ht="36" customHeight="1">
      <x:c r="A46" s="13" t="str">
        <x:v>SYN-OUT-032</x:v>
      </x:c>
      <x:c r="B46" s="13" t="str">
        <x:v>outside-KP</x:v>
      </x:c>
      <x:c r="C46" s="13" t="str">
        <x:v>Synthetic</x:v>
      </x:c>
      <x:c r="D46" s="13" t="str"/>
      <x:c r="E46" s="13" t="str">
        <x:v>Review</x:v>
      </x:c>
      <x:c r="F46" s="13" t="str">
        <x:v>Usaping corporate contract na hindi personal na barangay dispute</x:v>
      </x:c>
      <x:c r="G46" s="13" t="str">
        <x:v>April 12, 2026</x:v>
      </x:c>
      <x:c r="H46" s="13" t="str">
        <x:v>-</x:v>
      </x:c>
      <x:c r="I46" s="13" t="str">
        <x:v>Synthetic example: facts indicate matter is outside ordinary barangay conciliation or needs another forum.</x:v>
      </x:c>
      <x:c r="J46" s="13" t="str">
        <x:v>Review</x:v>
      </x:c>
      <x:c r="K46" s="13" t="str">
        <x:v>NON_KP_REVIEW</x:v>
      </x:c>
      <x:c r="L46" s="13" t="str">
        <x:v>Needs legal/KP eligibility review</x:v>
      </x:c>
      <x:c r="M46" s="13" t="str">
        <x:v>Flag as outside ordinary KP and route to proper agency or legal review</x:v>
      </x:c>
      <x:c r="N46" s="13" t="str">
        <x:v>Outside ordinary KP coverage or lacks required barangay jurisdiction facts.</x:v>
      </x:c>
      <x:c r="O46" s="13" t="str"/>
      <x:c r="P46" s="13" t="str">
        <x:v>Usaping corporate contract na hindi personal na barangay dispute</x:v>
      </x:c>
      <x:c r="Q46" s="13" t="str">
        <x:v>Added to balance 'outside-KP' to 49 examples using the same Justice KP label schema.</x:v>
      </x:c>
      <x:c r="R46" s="13" t="str">
        <x:v>Synthetic row based on category coverage gap from uploaded PDF</x:v>
      </x:c>
    </x:row>
    <x:row r="47" ht="36" customHeight="1">
      <x:c r="A47" s="13" t="str">
        <x:v>SYN-OUT-033</x:v>
      </x:c>
      <x:c r="B47" s="13" t="str">
        <x:v>outside-KP</x:v>
      </x:c>
      <x:c r="C47" s="13" t="str">
        <x:v>Synthetic</x:v>
      </x:c>
      <x:c r="D47" s="13" t="str"/>
      <x:c r="E47" s="13" t="str">
        <x:v>Review</x:v>
      </x:c>
      <x:c r="F47" s="13" t="str">
        <x:v>Reklamo sa online scam na hindi kilala ang respondent</x:v>
      </x:c>
      <x:c r="G47" s="13" t="str">
        <x:v>April 15, 2026</x:v>
      </x:c>
      <x:c r="H47" s="13" t="str">
        <x:v>-</x:v>
      </x:c>
      <x:c r="I47" s="13" t="str">
        <x:v>Synthetic example: facts indicate matter is outside ordinary barangay conciliation or needs another forum.</x:v>
      </x:c>
      <x:c r="J47" s="13" t="str">
        <x:v>Review</x:v>
      </x:c>
      <x:c r="K47" s="13" t="str">
        <x:v>NON_KP_REVIEW</x:v>
      </x:c>
      <x:c r="L47" s="13" t="str">
        <x:v>Needs legal/KP eligibility review</x:v>
      </x:c>
      <x:c r="M47" s="13" t="str">
        <x:v>Flag as outside ordinary KP and route to proper agency or legal review</x:v>
      </x:c>
      <x:c r="N47" s="13" t="str">
        <x:v>Outside ordinary KP coverage or lacks required barangay jurisdiction facts.</x:v>
      </x:c>
      <x:c r="O47" s="13" t="str"/>
      <x:c r="P47" s="13" t="str">
        <x:v>Reklamo sa online scam na hindi kilala ang respondent</x:v>
      </x:c>
      <x:c r="Q47" s="13" t="str">
        <x:v>Added to balance 'outside-KP' to 49 examples using the same Justice KP label schema.</x:v>
      </x:c>
      <x:c r="R47" s="13" t="str">
        <x:v>Synthetic row based on category coverage gap from uploaded PDF</x:v>
      </x:c>
    </x:row>
    <x:row r="48" ht="36" customHeight="1">
      <x:c r="A48" s="13" t="str">
        <x:v>SYN-OUT-034</x:v>
      </x:c>
      <x:c r="B48" s="13" t="str">
        <x:v>outside-KP</x:v>
      </x:c>
      <x:c r="C48" s="13" t="str">
        <x:v>Synthetic</x:v>
      </x:c>
      <x:c r="D48" s="13" t="str"/>
      <x:c r="E48" s="13" t="str">
        <x:v>Review</x:v>
      </x:c>
      <x:c r="F48" s="13" t="str">
        <x:v>Away na ang respondent ay residente ng ibang lungsod at hindi sakop</x:v>
      </x:c>
      <x:c r="G48" s="13" t="str">
        <x:v>April 18, 2026</x:v>
      </x:c>
      <x:c r="H48" s="13" t="str">
        <x:v>-</x:v>
      </x:c>
      <x:c r="I48" s="13" t="str">
        <x:v>Synthetic example: facts indicate matter is outside ordinary barangay conciliation or needs another forum.</x:v>
      </x:c>
      <x:c r="J48" s="13" t="str">
        <x:v>Review</x:v>
      </x:c>
      <x:c r="K48" s="13" t="str">
        <x:v>NON_KP_REVIEW</x:v>
      </x:c>
      <x:c r="L48" s="13" t="str">
        <x:v>Needs legal/KP eligibility review</x:v>
      </x:c>
      <x:c r="M48" s="13" t="str">
        <x:v>Flag as outside ordinary KP and route to proper agency or legal review</x:v>
      </x:c>
      <x:c r="N48" s="13" t="str">
        <x:v>Outside ordinary KP coverage or lacks required barangay jurisdiction facts.</x:v>
      </x:c>
      <x:c r="O48" s="13" t="str"/>
      <x:c r="P48" s="13" t="str">
        <x:v>Away na ang respondent ay residente ng ibang lungsod at hindi sakop</x:v>
      </x:c>
      <x:c r="Q48" s="13" t="str">
        <x:v>Added to balance 'outside-KP' to 49 examples using the same Justice KP label schema.</x:v>
      </x:c>
      <x:c r="R48" s="13" t="str">
        <x:v>Synthetic row based on category coverage gap from uploaded PDF</x:v>
      </x:c>
    </x:row>
    <x:row r="49" ht="36" customHeight="1">
      <x:c r="A49" s="13" t="str">
        <x:v>SYN-OUT-035</x:v>
      </x:c>
      <x:c r="B49" s="13" t="str">
        <x:v>outside-KP</x:v>
      </x:c>
      <x:c r="C49" s="13" t="str">
        <x:v>Synthetic</x:v>
      </x:c>
      <x:c r="D49" s="13" t="str"/>
      <x:c r="E49" s="13" t="str">
        <x:v>Review</x:v>
      </x:c>
      <x:c r="F49" s="13" t="str">
        <x:v>Cyber-related complaint na nangangailangan ng specialized investigation</x:v>
      </x:c>
      <x:c r="G49" s="13" t="str">
        <x:v>April 21, 2026</x:v>
      </x:c>
      <x:c r="H49" s="13" t="str">
        <x:v>-</x:v>
      </x:c>
      <x:c r="I49" s="13" t="str">
        <x:v>Synthetic example: facts indicate matter is outside ordinary barangay conciliation or needs another forum.</x:v>
      </x:c>
      <x:c r="J49" s="13" t="str">
        <x:v>Review</x:v>
      </x:c>
      <x:c r="K49" s="13" t="str">
        <x:v>NON_KP_REVIEW</x:v>
      </x:c>
      <x:c r="L49" s="13" t="str">
        <x:v>Needs legal/KP eligibility review</x:v>
      </x:c>
      <x:c r="M49" s="13" t="str">
        <x:v>Flag as outside ordinary KP and route to proper agency or legal review</x:v>
      </x:c>
      <x:c r="N49" s="13" t="str">
        <x:v>Outside ordinary KP coverage or lacks required barangay jurisdiction facts.</x:v>
      </x:c>
      <x:c r="O49" s="13" t="str"/>
      <x:c r="P49" s="13" t="str">
        <x:v>Cyber-related complaint na nangangailangan ng specialized investigation</x:v>
      </x:c>
      <x:c r="Q49" s="13" t="str">
        <x:v>Added to balance 'outside-KP' to 49 examples using the same Justice KP label schema.</x:v>
      </x:c>
      <x:c r="R49" s="13" t="str">
        <x:v>Synthetic row based on category coverage gap from uploaded PDF</x:v>
      </x:c>
    </x:row>
    <x:row r="50" ht="36" customHeight="1">
      <x:c r="A50" s="13" t="str">
        <x:v>SYN-OUT-036</x:v>
      </x:c>
      <x:c r="B50" s="13" t="str">
        <x:v>outside-KP</x:v>
      </x:c>
      <x:c r="C50" s="13" t="str">
        <x:v>Synthetic</x:v>
      </x:c>
      <x:c r="D50" s="13" t="str"/>
      <x:c r="E50" s="13" t="str">
        <x:v>Review</x:v>
      </x:c>
      <x:c r="F50" s="13" t="str">
        <x:v>Dispute sa lupa na may titulo at kailangan ng korte/registrar</x:v>
      </x:c>
      <x:c r="G50" s="13" t="str">
        <x:v>April 24, 2026</x:v>
      </x:c>
      <x:c r="H50" s="13" t="str">
        <x:v>-</x:v>
      </x:c>
      <x:c r="I50" s="13" t="str">
        <x:v>Synthetic example: facts indicate matter is outside ordinary barangay conciliation or needs another forum.</x:v>
      </x:c>
      <x:c r="J50" s="13" t="str">
        <x:v>Review</x:v>
      </x:c>
      <x:c r="K50" s="13" t="str">
        <x:v>NON_KP_REVIEW</x:v>
      </x:c>
      <x:c r="L50" s="13" t="str">
        <x:v>Needs legal/KP eligibility review</x:v>
      </x:c>
      <x:c r="M50" s="13" t="str">
        <x:v>Flag as outside ordinary KP and route to proper agency or legal review</x:v>
      </x:c>
      <x:c r="N50" s="13" t="str">
        <x:v>Outside ordinary KP coverage or lacks required barangay jurisdiction facts.</x:v>
      </x:c>
      <x:c r="O50" s="13" t="str"/>
      <x:c r="P50" s="13" t="str">
        <x:v>Dispute sa lupa na may titulo at kailangan ng korte/registrar</x:v>
      </x:c>
      <x:c r="Q50" s="13" t="str">
        <x:v>Added to balance 'outside-KP' to 49 examples using the same Justice KP label schema.</x:v>
      </x:c>
      <x:c r="R50" s="13" t="str">
        <x:v>Synthetic row based on category coverage gap from uploaded PDF</x:v>
      </x:c>
    </x:row>
  </x:sheetData>
  <x:pageMargins left="0.7" right="0.7" top="0.75" bottom="0.75" header="0.3" footer="0.3"/>
  <x:tableParts count="1">
    <x:tablePart xmlns:r="http://schemas.openxmlformats.org/officeDocument/2006/relationships" r:id="R361a6955b3b7416b"/>
  </x:tableParts>
</x:worksheet>
</file>

<file path=xl/worksheets/sheet12.xml><?xml version="1.0" encoding="utf-8"?>
<x:worksheet xmlns:x="http://schemas.openxmlformats.org/spreadsheetml/2006/main">
  <x:sheetFormatPr defaultRowHeight="15"/>
  <x:cols>
    <x:col min="1" max="1" width="18" hidden="0" customWidth="1"/>
    <x:col min="2" max="2" width="22" hidden="0" customWidth="1"/>
    <x:col min="3" max="3" width="13" hidden="0" customWidth="1"/>
    <x:col min="4" max="4" width="18" hidden="0" customWidth="1"/>
    <x:col min="5" max="5" width="18" hidden="0" customWidth="1"/>
    <x:col min="6" max="6" width="38" hidden="0" customWidth="1"/>
    <x:col min="7" max="7" width="17" hidden="0" customWidth="1"/>
    <x:col min="9" max="9" width="55" hidden="0" customWidth="1"/>
    <x:col min="11" max="11" width="24" hidden="0" customWidth="1"/>
    <x:col min="12" max="12" width="32" hidden="0" customWidth="1"/>
    <x:col min="13" max="13" width="42" hidden="0" customWidth="1"/>
    <x:col min="14" max="14" width="50" hidden="0" customWidth="1"/>
    <x:col min="17" max="17" width="50" hidden="0" customWidth="1"/>
    <x:col min="18" max="18" width="35" hidden="0" customWidth="1"/>
  </x:cols>
  <x:sheetData>
    <x:row r="1" ht="42" customHeight="1">
      <x:c r="A1" s="6" t="str">
        <x:v>case_id</x:v>
      </x:c>
      <x:c r="B1" s="6" t="str">
        <x:v>case_type</x:v>
      </x:c>
      <x:c r="C1" s="6" t="str">
        <x:v>source_type</x:v>
      </x:c>
      <x:c r="D1" s="6" t="str">
        <x:v>source_pdf_case_id</x:v>
      </x:c>
      <x:c r="E1" s="6" t="str">
        <x:v>original_dispute_category</x:v>
      </x:c>
      <x:c r="F1" s="6" t="str">
        <x:v>original_nature</x:v>
      </x:c>
      <x:c r="G1" s="6" t="str">
        <x:v>date_filed</x:v>
      </x:c>
      <x:c r="H1" s="6" t="str">
        <x:v>date_of_settlement_or_award</x:v>
      </x:c>
      <x:c r="I1" s="6" t="str">
        <x:v>conversation_status</x:v>
      </x:c>
      <x:c r="J1" s="6" t="str">
        <x:v>action_taken</x:v>
      </x:c>
      <x:c r="K1" s="6" t="str">
        <x:v>justice_kp_label</x:v>
      </x:c>
      <x:c r="L1" s="6" t="str">
        <x:v>kp_eligibility</x:v>
      </x:c>
      <x:c r="M1" s="6" t="str">
        <x:v>recommended_system_action</x:v>
      </x:c>
      <x:c r="N1" s="6" t="str">
        <x:v>label_reason</x:v>
      </x:c>
      <x:c r="O1" s="6" t="str">
        <x:v>amount_or_penalty_reference</x:v>
      </x:c>
      <x:c r="P1" s="6" t="str">
        <x:v>evidence_of_type</x:v>
      </x:c>
      <x:c r="Q1" s="6" t="str">
        <x:v>synthetic_generation_note</x:v>
      </x:c>
      <x:c r="R1" s="6" t="str">
        <x:v>source_file</x:v>
      </x:c>
    </x:row>
    <x:row r="2" ht="36" customHeight="1">
      <x:c r="A2" s="13" t="str">
        <x:v>SYN-GOV-001</x:v>
      </x:c>
      <x:c r="B2" s="13" t="str">
        <x:v>government-party</x:v>
      </x:c>
      <x:c r="C2" s="13" t="str">
        <x:v>Synthetic</x:v>
      </x:c>
      <x:c r="D2" s="13" t="str"/>
      <x:c r="E2" s="13" t="str">
        <x:v>Disqualified</x:v>
      </x:c>
      <x:c r="F2" s="13" t="str">
        <x:v>Reklamo laban sa city engineering office tungkol sa proyekto</x:v>
      </x:c>
      <x:c r="G2" s="13" t="str">
        <x:v>January 10, 2026</x:v>
      </x:c>
      <x:c r="H2" s="13" t="str">
        <x:v>-</x:v>
      </x:c>
      <x:c r="I2" s="13" t="str">
        <x:v>Synthetic example: one party is a government office/official acting in official capacity; mark non-KP.</x:v>
      </x:c>
      <x:c r="J2" s="13" t="str">
        <x:v>Refer</x:v>
      </x:c>
      <x:c r="K2" s="13" t="str">
        <x:v>NON_KP_REFERRAL</x:v>
      </x:c>
      <x:c r="L2" s="13" t="str">
        <x:v>Not KP; government party disqualification</x:v>
      </x:c>
      <x:c r="M2" s="13" t="str">
        <x:v>Refer/route to proper government grievance, administrative, or legal office</x:v>
      </x:c>
      <x:c r="N2" s="13" t="str">
        <x:v>KP does not apply when a government office/entity is a party.</x:v>
      </x:c>
      <x:c r="O2" s="13" t="str"/>
      <x:c r="P2" s="13" t="str">
        <x:v>Reklamo laban sa city engineering office tungkol sa proyekto</x:v>
      </x:c>
      <x:c r="Q2" s="13" t="str">
        <x:v>Added to balance 'government-party' to 49 examples using the same Justice KP label schema.</x:v>
      </x:c>
      <x:c r="R2" s="13" t="str">
        <x:v>Synthetic row based on category coverage gap from uploaded PDF</x:v>
      </x:c>
    </x:row>
    <x:row r="3" ht="36" customHeight="1">
      <x:c r="A3" s="13" t="str">
        <x:v>SYN-GOV-002</x:v>
      </x:c>
      <x:c r="B3" s="13" t="str">
        <x:v>government-party</x:v>
      </x:c>
      <x:c r="C3" s="13" t="str">
        <x:v>Synthetic</x:v>
      </x:c>
      <x:c r="D3" s="13" t="str"/>
      <x:c r="E3" s="13" t="str">
        <x:v>Disqualified</x:v>
      </x:c>
      <x:c r="F3" s="13" t="str">
        <x:v>Usapin kung saan ang respondent ay municipal government unit</x:v>
      </x:c>
      <x:c r="G3" s="13" t="str">
        <x:v>January 13, 2026</x:v>
      </x:c>
      <x:c r="H3" s="13" t="str">
        <x:v>-</x:v>
      </x:c>
      <x:c r="I3" s="13" t="str">
        <x:v>Synthetic example: one party is a government office/official acting in official capacity; mark non-KP.</x:v>
      </x:c>
      <x:c r="J3" s="13" t="str">
        <x:v>Refer</x:v>
      </x:c>
      <x:c r="K3" s="13" t="str">
        <x:v>NON_KP_REFERRAL</x:v>
      </x:c>
      <x:c r="L3" s="13" t="str">
        <x:v>Not KP; government party disqualification</x:v>
      </x:c>
      <x:c r="M3" s="13" t="str">
        <x:v>Refer/route to proper government grievance, administrative, or legal office</x:v>
      </x:c>
      <x:c r="N3" s="13" t="str">
        <x:v>KP does not apply when a government office/entity is a party.</x:v>
      </x:c>
      <x:c r="O3" s="13" t="str"/>
      <x:c r="P3" s="13" t="str">
        <x:v>Usapin kung saan ang respondent ay municipal government unit</x:v>
      </x:c>
      <x:c r="Q3" s="13" t="str">
        <x:v>Added to balance 'government-party' to 49 examples using the same Justice KP label schema.</x:v>
      </x:c>
      <x:c r="R3" s="13" t="str">
        <x:v>Synthetic row based on category coverage gap from uploaded PDF</x:v>
      </x:c>
    </x:row>
    <x:row r="4" ht="36" customHeight="1">
      <x:c r="A4" s="13" t="str">
        <x:v>SYN-GOV-003</x:v>
      </x:c>
      <x:c r="B4" s="13" t="str">
        <x:v>government-party</x:v>
      </x:c>
      <x:c r="C4" s="13" t="str">
        <x:v>Synthetic</x:v>
      </x:c>
      <x:c r="D4" s="13" t="str"/>
      <x:c r="E4" s="13" t="str">
        <x:v>Disqualified</x:v>
      </x:c>
      <x:c r="F4" s="13" t="str">
        <x:v>Reklamo laban sa barangay official kaugnay ng official duty</x:v>
      </x:c>
      <x:c r="G4" s="13" t="str">
        <x:v>January 16, 2026</x:v>
      </x:c>
      <x:c r="H4" s="13" t="str">
        <x:v>-</x:v>
      </x:c>
      <x:c r="I4" s="13" t="str">
        <x:v>Synthetic example: one party is a government office/official acting in official capacity; mark non-KP.</x:v>
      </x:c>
      <x:c r="J4" s="13" t="str">
        <x:v>Refer</x:v>
      </x:c>
      <x:c r="K4" s="13" t="str">
        <x:v>NON_KP_REFERRAL</x:v>
      </x:c>
      <x:c r="L4" s="13" t="str">
        <x:v>Not KP; government party disqualification</x:v>
      </x:c>
      <x:c r="M4" s="13" t="str">
        <x:v>Refer/route to proper government grievance, administrative, or legal office</x:v>
      </x:c>
      <x:c r="N4" s="13" t="str">
        <x:v>KP does not apply when a government office/entity is a party.</x:v>
      </x:c>
      <x:c r="O4" s="13" t="str"/>
      <x:c r="P4" s="13" t="str">
        <x:v>Reklamo laban sa barangay official kaugnay ng official duty</x:v>
      </x:c>
      <x:c r="Q4" s="13" t="str">
        <x:v>Added to balance 'government-party' to 49 examples using the same Justice KP label schema.</x:v>
      </x:c>
      <x:c r="R4" s="13" t="str">
        <x:v>Synthetic row based on category coverage gap from uploaded PDF</x:v>
      </x:c>
    </x:row>
    <x:row r="5" ht="36" customHeight="1">
      <x:c r="A5" s="13" t="str">
        <x:v>SYN-GOV-004</x:v>
      </x:c>
      <x:c r="B5" s="13" t="str">
        <x:v>government-party</x:v>
      </x:c>
      <x:c r="C5" s="13" t="str">
        <x:v>Synthetic</x:v>
      </x:c>
      <x:c r="D5" s="13" t="str"/>
      <x:c r="E5" s="13" t="str">
        <x:v>Disqualified</x:v>
      </x:c>
      <x:c r="F5" s="13" t="str">
        <x:v>Dispute laban sa public school office bilang party</x:v>
      </x:c>
      <x:c r="G5" s="13" t="str">
        <x:v>January 19, 2026</x:v>
      </x:c>
      <x:c r="H5" s="13" t="str">
        <x:v>-</x:v>
      </x:c>
      <x:c r="I5" s="13" t="str">
        <x:v>Synthetic example: one party is a government office/official acting in official capacity; mark non-KP.</x:v>
      </x:c>
      <x:c r="J5" s="13" t="str">
        <x:v>Refer</x:v>
      </x:c>
      <x:c r="K5" s="13" t="str">
        <x:v>NON_KP_REFERRAL</x:v>
      </x:c>
      <x:c r="L5" s="13" t="str">
        <x:v>Not KP; government party disqualification</x:v>
      </x:c>
      <x:c r="M5" s="13" t="str">
        <x:v>Refer/route to proper government grievance, administrative, or legal office</x:v>
      </x:c>
      <x:c r="N5" s="13" t="str">
        <x:v>KP does not apply when a government office/entity is a party.</x:v>
      </x:c>
      <x:c r="O5" s="13" t="str"/>
      <x:c r="P5" s="13" t="str">
        <x:v>Dispute laban sa public school office bilang party</x:v>
      </x:c>
      <x:c r="Q5" s="13" t="str">
        <x:v>Added to balance 'government-party' to 49 examples using the same Justice KP label schema.</x:v>
      </x:c>
      <x:c r="R5" s="13" t="str">
        <x:v>Synthetic row based on category coverage gap from uploaded PDF</x:v>
      </x:c>
    </x:row>
    <x:row r="6" ht="36" customHeight="1">
      <x:c r="A6" s="13" t="str">
        <x:v>SYN-GOV-005</x:v>
      </x:c>
      <x:c r="B6" s="13" t="str">
        <x:v>government-party</x:v>
      </x:c>
      <x:c r="C6" s="13" t="str">
        <x:v>Synthetic</x:v>
      </x:c>
      <x:c r="D6" s="13" t="str"/>
      <x:c r="E6" s="13" t="str">
        <x:v>Disqualified</x:v>
      </x:c>
      <x:c r="F6" s="13" t="str">
        <x:v>Reklamo sa water district na government-controlled utility</x:v>
      </x:c>
      <x:c r="G6" s="13" t="str">
        <x:v>January 22, 2026</x:v>
      </x:c>
      <x:c r="H6" s="13" t="str">
        <x:v>-</x:v>
      </x:c>
      <x:c r="I6" s="13" t="str">
        <x:v>Synthetic example: one party is a government office/official acting in official capacity; mark non-KP.</x:v>
      </x:c>
      <x:c r="J6" s="13" t="str">
        <x:v>Refer</x:v>
      </x:c>
      <x:c r="K6" s="13" t="str">
        <x:v>NON_KP_REFERRAL</x:v>
      </x:c>
      <x:c r="L6" s="13" t="str">
        <x:v>Not KP; government party disqualification</x:v>
      </x:c>
      <x:c r="M6" s="13" t="str">
        <x:v>Refer/route to proper government grievance, administrative, or legal office</x:v>
      </x:c>
      <x:c r="N6" s="13" t="str">
        <x:v>KP does not apply when a government office/entity is a party.</x:v>
      </x:c>
      <x:c r="O6" s="13" t="str"/>
      <x:c r="P6" s="13" t="str">
        <x:v>Reklamo sa water district na government-controlled utility</x:v>
      </x:c>
      <x:c r="Q6" s="13" t="str">
        <x:v>Added to balance 'government-party' to 49 examples using the same Justice KP label schema.</x:v>
      </x:c>
      <x:c r="R6" s="13" t="str">
        <x:v>Synthetic row based on category coverage gap from uploaded PDF</x:v>
      </x:c>
    </x:row>
    <x:row r="7" ht="36" customHeight="1">
      <x:c r="A7" s="13" t="str">
        <x:v>SYN-GOV-006</x:v>
      </x:c>
      <x:c r="B7" s="13" t="str">
        <x:v>government-party</x:v>
      </x:c>
      <x:c r="C7" s="13" t="str">
        <x:v>Synthetic</x:v>
      </x:c>
      <x:c r="D7" s="13" t="str"/>
      <x:c r="E7" s="13" t="str">
        <x:v>Disqualified</x:v>
      </x:c>
      <x:c r="F7" s="13" t="str">
        <x:v>Reklamo laban sa police officer kaugnay ng opisyal na tungkulin</x:v>
      </x:c>
      <x:c r="G7" s="13" t="str">
        <x:v>January 25, 2026</x:v>
      </x:c>
      <x:c r="H7" s="13" t="str">
        <x:v>-</x:v>
      </x:c>
      <x:c r="I7" s="13" t="str">
        <x:v>Synthetic example: one party is a government office/official acting in official capacity; mark non-KP.</x:v>
      </x:c>
      <x:c r="J7" s="13" t="str">
        <x:v>Refer</x:v>
      </x:c>
      <x:c r="K7" s="13" t="str">
        <x:v>NON_KP_REFERRAL</x:v>
      </x:c>
      <x:c r="L7" s="13" t="str">
        <x:v>Not KP; government party disqualification</x:v>
      </x:c>
      <x:c r="M7" s="13" t="str">
        <x:v>Refer/route to proper government grievance, administrative, or legal office</x:v>
      </x:c>
      <x:c r="N7" s="13" t="str">
        <x:v>KP does not apply when a government office/entity is a party.</x:v>
      </x:c>
      <x:c r="O7" s="13" t="str"/>
      <x:c r="P7" s="13" t="str">
        <x:v>Reklamo laban sa police officer kaugnay ng opisyal na tungkulin</x:v>
      </x:c>
      <x:c r="Q7" s="13" t="str">
        <x:v>Added to balance 'government-party' to 49 examples using the same Justice KP label schema.</x:v>
      </x:c>
      <x:c r="R7" s="13" t="str">
        <x:v>Synthetic row based on category coverage gap from uploaded PDF</x:v>
      </x:c>
    </x:row>
    <x:row r="8" ht="36" customHeight="1">
      <x:c r="A8" s="13" t="str">
        <x:v>SYN-GOV-007</x:v>
      </x:c>
      <x:c r="B8" s="13" t="str">
        <x:v>government-party</x:v>
      </x:c>
      <x:c r="C8" s="13" t="str">
        <x:v>Synthetic</x:v>
      </x:c>
      <x:c r="D8" s="13" t="str"/>
      <x:c r="E8" s="13" t="str">
        <x:v>Disqualified</x:v>
      </x:c>
      <x:c r="F8" s="13" t="str">
        <x:v>Usapin sa provincial office bilang respondent</x:v>
      </x:c>
      <x:c r="G8" s="13" t="str">
        <x:v>January 28, 2026</x:v>
      </x:c>
      <x:c r="H8" s="13" t="str">
        <x:v>-</x:v>
      </x:c>
      <x:c r="I8" s="13" t="str">
        <x:v>Synthetic example: one party is a government office/official acting in official capacity; mark non-KP.</x:v>
      </x:c>
      <x:c r="J8" s="13" t="str">
        <x:v>Refer</x:v>
      </x:c>
      <x:c r="K8" s="13" t="str">
        <x:v>NON_KP_REFERRAL</x:v>
      </x:c>
      <x:c r="L8" s="13" t="str">
        <x:v>Not KP; government party disqualification</x:v>
      </x:c>
      <x:c r="M8" s="13" t="str">
        <x:v>Refer/route to proper government grievance, administrative, or legal office</x:v>
      </x:c>
      <x:c r="N8" s="13" t="str">
        <x:v>KP does not apply when a government office/entity is a party.</x:v>
      </x:c>
      <x:c r="O8" s="13" t="str"/>
      <x:c r="P8" s="13" t="str">
        <x:v>Usapin sa provincial office bilang respondent</x:v>
      </x:c>
      <x:c r="Q8" s="13" t="str">
        <x:v>Added to balance 'government-party' to 49 examples using the same Justice KP label schema.</x:v>
      </x:c>
      <x:c r="R8" s="13" t="str">
        <x:v>Synthetic row based on category coverage gap from uploaded PDF</x:v>
      </x:c>
    </x:row>
    <x:row r="9" ht="36" customHeight="1">
      <x:c r="A9" s="13" t="str">
        <x:v>SYN-GOV-008</x:v>
      </x:c>
      <x:c r="B9" s="13" t="str">
        <x:v>government-party</x:v>
      </x:c>
      <x:c r="C9" s="13" t="str">
        <x:v>Synthetic</x:v>
      </x:c>
      <x:c r="D9" s="13" t="str"/>
      <x:c r="E9" s="13" t="str">
        <x:v>Disqualified</x:v>
      </x:c>
      <x:c r="F9" s="13" t="str">
        <x:v>Reklamo laban sa government hospital billing office</x:v>
      </x:c>
      <x:c r="G9" s="13" t="str">
        <x:v>January 31, 2026</x:v>
      </x:c>
      <x:c r="H9" s="13" t="str">
        <x:v>-</x:v>
      </x:c>
      <x:c r="I9" s="13" t="str">
        <x:v>Synthetic example: one party is a government office/official acting in official capacity; mark non-KP.</x:v>
      </x:c>
      <x:c r="J9" s="13" t="str">
        <x:v>Refer</x:v>
      </x:c>
      <x:c r="K9" s="13" t="str">
        <x:v>NON_KP_REFERRAL</x:v>
      </x:c>
      <x:c r="L9" s="13" t="str">
        <x:v>Not KP; government party disqualification</x:v>
      </x:c>
      <x:c r="M9" s="13" t="str">
        <x:v>Refer/route to proper government grievance, administrative, or legal office</x:v>
      </x:c>
      <x:c r="N9" s="13" t="str">
        <x:v>KP does not apply when a government office/entity is a party.</x:v>
      </x:c>
      <x:c r="O9" s="13" t="str"/>
      <x:c r="P9" s="13" t="str">
        <x:v>Reklamo laban sa government hospital billing office</x:v>
      </x:c>
      <x:c r="Q9" s="13" t="str">
        <x:v>Added to balance 'government-party' to 49 examples using the same Justice KP label schema.</x:v>
      </x:c>
      <x:c r="R9" s="13" t="str">
        <x:v>Synthetic row based on category coverage gap from uploaded PDF</x:v>
      </x:c>
    </x:row>
    <x:row r="10" ht="36" customHeight="1">
      <x:c r="A10" s="13" t="str">
        <x:v>SYN-GOV-009</x:v>
      </x:c>
      <x:c r="B10" s="13" t="str">
        <x:v>government-party</x:v>
      </x:c>
      <x:c r="C10" s="13" t="str">
        <x:v>Synthetic</x:v>
      </x:c>
      <x:c r="D10" s="13" t="str"/>
      <x:c r="E10" s="13" t="str">
        <x:v>Disqualified</x:v>
      </x:c>
      <x:c r="F10" s="13" t="str">
        <x:v>Dispute sa road-clearing action ng municipal office</x:v>
      </x:c>
      <x:c r="G10" s="13" t="str">
        <x:v>February 3, 2026</x:v>
      </x:c>
      <x:c r="H10" s="13" t="str">
        <x:v>-</x:v>
      </x:c>
      <x:c r="I10" s="13" t="str">
        <x:v>Synthetic example: one party is a government office/official acting in official capacity; mark non-KP.</x:v>
      </x:c>
      <x:c r="J10" s="13" t="str">
        <x:v>Refer</x:v>
      </x:c>
      <x:c r="K10" s="13" t="str">
        <x:v>NON_KP_REFERRAL</x:v>
      </x:c>
      <x:c r="L10" s="13" t="str">
        <x:v>Not KP; government party disqualification</x:v>
      </x:c>
      <x:c r="M10" s="13" t="str">
        <x:v>Refer/route to proper government grievance, administrative, or legal office</x:v>
      </x:c>
      <x:c r="N10" s="13" t="str">
        <x:v>KP does not apply when a government office/entity is a party.</x:v>
      </x:c>
      <x:c r="O10" s="13" t="str"/>
      <x:c r="P10" s="13" t="str">
        <x:v>Dispute sa road-clearing action ng municipal office</x:v>
      </x:c>
      <x:c r="Q10" s="13" t="str">
        <x:v>Added to balance 'government-party' to 49 examples using the same Justice KP label schema.</x:v>
      </x:c>
      <x:c r="R10" s="13" t="str">
        <x:v>Synthetic row based on category coverage gap from uploaded PDF</x:v>
      </x:c>
    </x:row>
    <x:row r="11" ht="36" customHeight="1">
      <x:c r="A11" s="13" t="str">
        <x:v>SYN-GOV-010</x:v>
      </x:c>
      <x:c r="B11" s="13" t="str">
        <x:v>government-party</x:v>
      </x:c>
      <x:c r="C11" s="13" t="str">
        <x:v>Synthetic</x:v>
      </x:c>
      <x:c r="D11" s="13" t="str"/>
      <x:c r="E11" s="13" t="str">
        <x:v>Disqualified</x:v>
      </x:c>
      <x:c r="F11" s="13" t="str">
        <x:v>Reklamo laban sa public market administration office</x:v>
      </x:c>
      <x:c r="G11" s="13" t="str">
        <x:v>February 6, 2026</x:v>
      </x:c>
      <x:c r="H11" s="13" t="str">
        <x:v>-</x:v>
      </x:c>
      <x:c r="I11" s="13" t="str">
        <x:v>Synthetic example: one party is a government office/official acting in official capacity; mark non-KP.</x:v>
      </x:c>
      <x:c r="J11" s="13" t="str">
        <x:v>Refer</x:v>
      </x:c>
      <x:c r="K11" s="13" t="str">
        <x:v>NON_KP_REFERRAL</x:v>
      </x:c>
      <x:c r="L11" s="13" t="str">
        <x:v>Not KP; government party disqualification</x:v>
      </x:c>
      <x:c r="M11" s="13" t="str">
        <x:v>Refer/route to proper government grievance, administrative, or legal office</x:v>
      </x:c>
      <x:c r="N11" s="13" t="str">
        <x:v>KP does not apply when a government office/entity is a party.</x:v>
      </x:c>
      <x:c r="O11" s="13" t="str"/>
      <x:c r="P11" s="13" t="str">
        <x:v>Reklamo laban sa public market administration office</x:v>
      </x:c>
      <x:c r="Q11" s="13" t="str">
        <x:v>Added to balance 'government-party' to 49 examples using the same Justice KP label schema.</x:v>
      </x:c>
      <x:c r="R11" s="13" t="str">
        <x:v>Synthetic row based on category coverage gap from uploaded PDF</x:v>
      </x:c>
    </x:row>
    <x:row r="12" ht="36" customHeight="1">
      <x:c r="A12" s="13" t="str">
        <x:v>SYN-GOV-011</x:v>
      </x:c>
      <x:c r="B12" s="13" t="str">
        <x:v>government-party</x:v>
      </x:c>
      <x:c r="C12" s="13" t="str">
        <x:v>Synthetic</x:v>
      </x:c>
      <x:c r="D12" s="13" t="str"/>
      <x:c r="E12" s="13" t="str">
        <x:v>Disqualified</x:v>
      </x:c>
      <x:c r="F12" s="13" t="str">
        <x:v>Reklamo laban sa city engineering office tungkol sa proyekto</x:v>
      </x:c>
      <x:c r="G12" s="13" t="str">
        <x:v>February 9, 2026</x:v>
      </x:c>
      <x:c r="H12" s="13" t="str">
        <x:v>-</x:v>
      </x:c>
      <x:c r="I12" s="13" t="str">
        <x:v>Synthetic example: one party is a government office/official acting in official capacity; mark non-KP.</x:v>
      </x:c>
      <x:c r="J12" s="13" t="str">
        <x:v>Refer</x:v>
      </x:c>
      <x:c r="K12" s="13" t="str">
        <x:v>NON_KP_REFERRAL</x:v>
      </x:c>
      <x:c r="L12" s="13" t="str">
        <x:v>Not KP; government party disqualification</x:v>
      </x:c>
      <x:c r="M12" s="13" t="str">
        <x:v>Refer/route to proper government grievance, administrative, or legal office</x:v>
      </x:c>
      <x:c r="N12" s="13" t="str">
        <x:v>KP does not apply when a government office/entity is a party.</x:v>
      </x:c>
      <x:c r="O12" s="13" t="str"/>
      <x:c r="P12" s="13" t="str">
        <x:v>Reklamo laban sa city engineering office tungkol sa proyekto</x:v>
      </x:c>
      <x:c r="Q12" s="13" t="str">
        <x:v>Added to balance 'government-party' to 49 examples using the same Justice KP label schema.</x:v>
      </x:c>
      <x:c r="R12" s="13" t="str">
        <x:v>Synthetic row based on category coverage gap from uploaded PDF</x:v>
      </x:c>
    </x:row>
    <x:row r="13" ht="36" customHeight="1">
      <x:c r="A13" s="13" t="str">
        <x:v>SYN-GOV-012</x:v>
      </x:c>
      <x:c r="B13" s="13" t="str">
        <x:v>government-party</x:v>
      </x:c>
      <x:c r="C13" s="13" t="str">
        <x:v>Synthetic</x:v>
      </x:c>
      <x:c r="D13" s="13" t="str"/>
      <x:c r="E13" s="13" t="str">
        <x:v>Disqualified</x:v>
      </x:c>
      <x:c r="F13" s="13" t="str">
        <x:v>Usapin kung saan ang respondent ay municipal government unit</x:v>
      </x:c>
      <x:c r="G13" s="13" t="str">
        <x:v>February 12, 2026</x:v>
      </x:c>
      <x:c r="H13" s="13" t="str">
        <x:v>-</x:v>
      </x:c>
      <x:c r="I13" s="13" t="str">
        <x:v>Synthetic example: one party is a government office/official acting in official capacity; mark non-KP.</x:v>
      </x:c>
      <x:c r="J13" s="13" t="str">
        <x:v>Refer</x:v>
      </x:c>
      <x:c r="K13" s="13" t="str">
        <x:v>NON_KP_REFERRAL</x:v>
      </x:c>
      <x:c r="L13" s="13" t="str">
        <x:v>Not KP; government party disqualification</x:v>
      </x:c>
      <x:c r="M13" s="13" t="str">
        <x:v>Refer/route to proper government grievance, administrative, or legal office</x:v>
      </x:c>
      <x:c r="N13" s="13" t="str">
        <x:v>KP does not apply when a government office/entity is a party.</x:v>
      </x:c>
      <x:c r="O13" s="13" t="str"/>
      <x:c r="P13" s="13" t="str">
        <x:v>Usapin kung saan ang respondent ay municipal government unit</x:v>
      </x:c>
      <x:c r="Q13" s="13" t="str">
        <x:v>Added to balance 'government-party' to 49 examples using the same Justice KP label schema.</x:v>
      </x:c>
      <x:c r="R13" s="13" t="str">
        <x:v>Synthetic row based on category coverage gap from uploaded PDF</x:v>
      </x:c>
    </x:row>
    <x:row r="14" ht="36" customHeight="1">
      <x:c r="A14" s="13" t="str">
        <x:v>SYN-GOV-013</x:v>
      </x:c>
      <x:c r="B14" s="13" t="str">
        <x:v>government-party</x:v>
      </x:c>
      <x:c r="C14" s="13" t="str">
        <x:v>Synthetic</x:v>
      </x:c>
      <x:c r="D14" s="13" t="str"/>
      <x:c r="E14" s="13" t="str">
        <x:v>Disqualified</x:v>
      </x:c>
      <x:c r="F14" s="13" t="str">
        <x:v>Reklamo laban sa barangay official kaugnay ng official duty</x:v>
      </x:c>
      <x:c r="G14" s="13" t="str">
        <x:v>February 15, 2026</x:v>
      </x:c>
      <x:c r="H14" s="13" t="str">
        <x:v>-</x:v>
      </x:c>
      <x:c r="I14" s="13" t="str">
        <x:v>Synthetic example: one party is a government office/official acting in official capacity; mark non-KP.</x:v>
      </x:c>
      <x:c r="J14" s="13" t="str">
        <x:v>Refer</x:v>
      </x:c>
      <x:c r="K14" s="13" t="str">
        <x:v>NON_KP_REFERRAL</x:v>
      </x:c>
      <x:c r="L14" s="13" t="str">
        <x:v>Not KP; government party disqualification</x:v>
      </x:c>
      <x:c r="M14" s="13" t="str">
        <x:v>Refer/route to proper government grievance, administrative, or legal office</x:v>
      </x:c>
      <x:c r="N14" s="13" t="str">
        <x:v>KP does not apply when a government office/entity is a party.</x:v>
      </x:c>
      <x:c r="O14" s="13" t="str"/>
      <x:c r="P14" s="13" t="str">
        <x:v>Reklamo laban sa barangay official kaugnay ng official duty</x:v>
      </x:c>
      <x:c r="Q14" s="13" t="str">
        <x:v>Added to balance 'government-party' to 49 examples using the same Justice KP label schema.</x:v>
      </x:c>
      <x:c r="R14" s="13" t="str">
        <x:v>Synthetic row based on category coverage gap from uploaded PDF</x:v>
      </x:c>
    </x:row>
    <x:row r="15" ht="36" customHeight="1">
      <x:c r="A15" s="13" t="str">
        <x:v>SYN-GOV-014</x:v>
      </x:c>
      <x:c r="B15" s="13" t="str">
        <x:v>government-party</x:v>
      </x:c>
      <x:c r="C15" s="13" t="str">
        <x:v>Synthetic</x:v>
      </x:c>
      <x:c r="D15" s="13" t="str"/>
      <x:c r="E15" s="13" t="str">
        <x:v>Disqualified</x:v>
      </x:c>
      <x:c r="F15" s="13" t="str">
        <x:v>Dispute laban sa public school office bilang party</x:v>
      </x:c>
      <x:c r="G15" s="13" t="str">
        <x:v>February 18, 2026</x:v>
      </x:c>
      <x:c r="H15" s="13" t="str">
        <x:v>-</x:v>
      </x:c>
      <x:c r="I15" s="13" t="str">
        <x:v>Synthetic example: one party is a government office/official acting in official capacity; mark non-KP.</x:v>
      </x:c>
      <x:c r="J15" s="13" t="str">
        <x:v>Refer</x:v>
      </x:c>
      <x:c r="K15" s="13" t="str">
        <x:v>NON_KP_REFERRAL</x:v>
      </x:c>
      <x:c r="L15" s="13" t="str">
        <x:v>Not KP; government party disqualification</x:v>
      </x:c>
      <x:c r="M15" s="13" t="str">
        <x:v>Refer/route to proper government grievance, administrative, or legal office</x:v>
      </x:c>
      <x:c r="N15" s="13" t="str">
        <x:v>KP does not apply when a government office/entity is a party.</x:v>
      </x:c>
      <x:c r="O15" s="13" t="str"/>
      <x:c r="P15" s="13" t="str">
        <x:v>Dispute laban sa public school office bilang party</x:v>
      </x:c>
      <x:c r="Q15" s="13" t="str">
        <x:v>Added to balance 'government-party' to 49 examples using the same Justice KP label schema.</x:v>
      </x:c>
      <x:c r="R15" s="13" t="str">
        <x:v>Synthetic row based on category coverage gap from uploaded PDF</x:v>
      </x:c>
    </x:row>
    <x:row r="16" ht="36" customHeight="1">
      <x:c r="A16" s="13" t="str">
        <x:v>SYN-GOV-015</x:v>
      </x:c>
      <x:c r="B16" s="13" t="str">
        <x:v>government-party</x:v>
      </x:c>
      <x:c r="C16" s="13" t="str">
        <x:v>Synthetic</x:v>
      </x:c>
      <x:c r="D16" s="13" t="str"/>
      <x:c r="E16" s="13" t="str">
        <x:v>Disqualified</x:v>
      </x:c>
      <x:c r="F16" s="13" t="str">
        <x:v>Reklamo sa water district na government-controlled utility</x:v>
      </x:c>
      <x:c r="G16" s="13" t="str">
        <x:v>February 21, 2026</x:v>
      </x:c>
      <x:c r="H16" s="13" t="str">
        <x:v>-</x:v>
      </x:c>
      <x:c r="I16" s="13" t="str">
        <x:v>Synthetic example: one party is a government office/official acting in official capacity; mark non-KP.</x:v>
      </x:c>
      <x:c r="J16" s="13" t="str">
        <x:v>Refer</x:v>
      </x:c>
      <x:c r="K16" s="13" t="str">
        <x:v>NON_KP_REFERRAL</x:v>
      </x:c>
      <x:c r="L16" s="13" t="str">
        <x:v>Not KP; government party disqualification</x:v>
      </x:c>
      <x:c r="M16" s="13" t="str">
        <x:v>Refer/route to proper government grievance, administrative, or legal office</x:v>
      </x:c>
      <x:c r="N16" s="13" t="str">
        <x:v>KP does not apply when a government office/entity is a party.</x:v>
      </x:c>
      <x:c r="O16" s="13" t="str"/>
      <x:c r="P16" s="13" t="str">
        <x:v>Reklamo sa water district na government-controlled utility</x:v>
      </x:c>
      <x:c r="Q16" s="13" t="str">
        <x:v>Added to balance 'government-party' to 49 examples using the same Justice KP label schema.</x:v>
      </x:c>
      <x:c r="R16" s="13" t="str">
        <x:v>Synthetic row based on category coverage gap from uploaded PDF</x:v>
      </x:c>
    </x:row>
    <x:row r="17" ht="36" customHeight="1">
      <x:c r="A17" s="13" t="str">
        <x:v>SYN-GOV-016</x:v>
      </x:c>
      <x:c r="B17" s="13" t="str">
        <x:v>government-party</x:v>
      </x:c>
      <x:c r="C17" s="13" t="str">
        <x:v>Synthetic</x:v>
      </x:c>
      <x:c r="D17" s="13" t="str"/>
      <x:c r="E17" s="13" t="str">
        <x:v>Disqualified</x:v>
      </x:c>
      <x:c r="F17" s="13" t="str">
        <x:v>Reklamo laban sa police officer kaugnay ng opisyal na tungkulin</x:v>
      </x:c>
      <x:c r="G17" s="13" t="str">
        <x:v>February 24, 2026</x:v>
      </x:c>
      <x:c r="H17" s="13" t="str">
        <x:v>-</x:v>
      </x:c>
      <x:c r="I17" s="13" t="str">
        <x:v>Synthetic example: one party is a government office/official acting in official capacity; mark non-KP.</x:v>
      </x:c>
      <x:c r="J17" s="13" t="str">
        <x:v>Refer</x:v>
      </x:c>
      <x:c r="K17" s="13" t="str">
        <x:v>NON_KP_REFERRAL</x:v>
      </x:c>
      <x:c r="L17" s="13" t="str">
        <x:v>Not KP; government party disqualification</x:v>
      </x:c>
      <x:c r="M17" s="13" t="str">
        <x:v>Refer/route to proper government grievance, administrative, or legal office</x:v>
      </x:c>
      <x:c r="N17" s="13" t="str">
        <x:v>KP does not apply when a government office/entity is a party.</x:v>
      </x:c>
      <x:c r="O17" s="13" t="str"/>
      <x:c r="P17" s="13" t="str">
        <x:v>Reklamo laban sa police officer kaugnay ng opisyal na tungkulin</x:v>
      </x:c>
      <x:c r="Q17" s="13" t="str">
        <x:v>Added to balance 'government-party' to 49 examples using the same Justice KP label schema.</x:v>
      </x:c>
      <x:c r="R17" s="13" t="str">
        <x:v>Synthetic row based on category coverage gap from uploaded PDF</x:v>
      </x:c>
    </x:row>
    <x:row r="18" ht="36" customHeight="1">
      <x:c r="A18" s="13" t="str">
        <x:v>SYN-GOV-017</x:v>
      </x:c>
      <x:c r="B18" s="13" t="str">
        <x:v>government-party</x:v>
      </x:c>
      <x:c r="C18" s="13" t="str">
        <x:v>Synthetic</x:v>
      </x:c>
      <x:c r="D18" s="13" t="str"/>
      <x:c r="E18" s="13" t="str">
        <x:v>Disqualified</x:v>
      </x:c>
      <x:c r="F18" s="13" t="str">
        <x:v>Usapin sa provincial office bilang respondent</x:v>
      </x:c>
      <x:c r="G18" s="13" t="str">
        <x:v>February 27, 2026</x:v>
      </x:c>
      <x:c r="H18" s="13" t="str">
        <x:v>-</x:v>
      </x:c>
      <x:c r="I18" s="13" t="str">
        <x:v>Synthetic example: one party is a government office/official acting in official capacity; mark non-KP.</x:v>
      </x:c>
      <x:c r="J18" s="13" t="str">
        <x:v>Refer</x:v>
      </x:c>
      <x:c r="K18" s="13" t="str">
        <x:v>NON_KP_REFERRAL</x:v>
      </x:c>
      <x:c r="L18" s="13" t="str">
        <x:v>Not KP; government party disqualification</x:v>
      </x:c>
      <x:c r="M18" s="13" t="str">
        <x:v>Refer/route to proper government grievance, administrative, or legal office</x:v>
      </x:c>
      <x:c r="N18" s="13" t="str">
        <x:v>KP does not apply when a government office/entity is a party.</x:v>
      </x:c>
      <x:c r="O18" s="13" t="str"/>
      <x:c r="P18" s="13" t="str">
        <x:v>Usapin sa provincial office bilang respondent</x:v>
      </x:c>
      <x:c r="Q18" s="13" t="str">
        <x:v>Added to balance 'government-party' to 49 examples using the same Justice KP label schema.</x:v>
      </x:c>
      <x:c r="R18" s="13" t="str">
        <x:v>Synthetic row based on category coverage gap from uploaded PDF</x:v>
      </x:c>
    </x:row>
    <x:row r="19" ht="36" customHeight="1">
      <x:c r="A19" s="13" t="str">
        <x:v>SYN-GOV-018</x:v>
      </x:c>
      <x:c r="B19" s="13" t="str">
        <x:v>government-party</x:v>
      </x:c>
      <x:c r="C19" s="13" t="str">
        <x:v>Synthetic</x:v>
      </x:c>
      <x:c r="D19" s="13" t="str"/>
      <x:c r="E19" s="13" t="str">
        <x:v>Disqualified</x:v>
      </x:c>
      <x:c r="F19" s="13" t="str">
        <x:v>Reklamo laban sa government hospital billing office</x:v>
      </x:c>
      <x:c r="G19" s="13" t="str">
        <x:v>March 2, 2026</x:v>
      </x:c>
      <x:c r="H19" s="13" t="str">
        <x:v>-</x:v>
      </x:c>
      <x:c r="I19" s="13" t="str">
        <x:v>Synthetic example: one party is a government office/official acting in official capacity; mark non-KP.</x:v>
      </x:c>
      <x:c r="J19" s="13" t="str">
        <x:v>Refer</x:v>
      </x:c>
      <x:c r="K19" s="13" t="str">
        <x:v>NON_KP_REFERRAL</x:v>
      </x:c>
      <x:c r="L19" s="13" t="str">
        <x:v>Not KP; government party disqualification</x:v>
      </x:c>
      <x:c r="M19" s="13" t="str">
        <x:v>Refer/route to proper government grievance, administrative, or legal office</x:v>
      </x:c>
      <x:c r="N19" s="13" t="str">
        <x:v>KP does not apply when a government office/entity is a party.</x:v>
      </x:c>
      <x:c r="O19" s="13" t="str"/>
      <x:c r="P19" s="13" t="str">
        <x:v>Reklamo laban sa government hospital billing office</x:v>
      </x:c>
      <x:c r="Q19" s="13" t="str">
        <x:v>Added to balance 'government-party' to 49 examples using the same Justice KP label schema.</x:v>
      </x:c>
      <x:c r="R19" s="13" t="str">
        <x:v>Synthetic row based on category coverage gap from uploaded PDF</x:v>
      </x:c>
    </x:row>
    <x:row r="20" ht="36" customHeight="1">
      <x:c r="A20" s="13" t="str">
        <x:v>SYN-GOV-019</x:v>
      </x:c>
      <x:c r="B20" s="13" t="str">
        <x:v>government-party</x:v>
      </x:c>
      <x:c r="C20" s="13" t="str">
        <x:v>Synthetic</x:v>
      </x:c>
      <x:c r="D20" s="13" t="str"/>
      <x:c r="E20" s="13" t="str">
        <x:v>Disqualified</x:v>
      </x:c>
      <x:c r="F20" s="13" t="str">
        <x:v>Dispute sa road-clearing action ng municipal office</x:v>
      </x:c>
      <x:c r="G20" s="13" t="str">
        <x:v>March 5, 2026</x:v>
      </x:c>
      <x:c r="H20" s="13" t="str">
        <x:v>-</x:v>
      </x:c>
      <x:c r="I20" s="13" t="str">
        <x:v>Synthetic example: one party is a government office/official acting in official capacity; mark non-KP.</x:v>
      </x:c>
      <x:c r="J20" s="13" t="str">
        <x:v>Refer</x:v>
      </x:c>
      <x:c r="K20" s="13" t="str">
        <x:v>NON_KP_REFERRAL</x:v>
      </x:c>
      <x:c r="L20" s="13" t="str">
        <x:v>Not KP; government party disqualification</x:v>
      </x:c>
      <x:c r="M20" s="13" t="str">
        <x:v>Refer/route to proper government grievance, administrative, or legal office</x:v>
      </x:c>
      <x:c r="N20" s="13" t="str">
        <x:v>KP does not apply when a government office/entity is a party.</x:v>
      </x:c>
      <x:c r="O20" s="13" t="str"/>
      <x:c r="P20" s="13" t="str">
        <x:v>Dispute sa road-clearing action ng municipal office</x:v>
      </x:c>
      <x:c r="Q20" s="13" t="str">
        <x:v>Added to balance 'government-party' to 49 examples using the same Justice KP label schema.</x:v>
      </x:c>
      <x:c r="R20" s="13" t="str">
        <x:v>Synthetic row based on category coverage gap from uploaded PDF</x:v>
      </x:c>
    </x:row>
    <x:row r="21" ht="36" customHeight="1">
      <x:c r="A21" s="13" t="str">
        <x:v>SYN-GOV-020</x:v>
      </x:c>
      <x:c r="B21" s="13" t="str">
        <x:v>government-party</x:v>
      </x:c>
      <x:c r="C21" s="13" t="str">
        <x:v>Synthetic</x:v>
      </x:c>
      <x:c r="D21" s="13" t="str"/>
      <x:c r="E21" s="13" t="str">
        <x:v>Disqualified</x:v>
      </x:c>
      <x:c r="F21" s="13" t="str">
        <x:v>Reklamo laban sa public market administration office</x:v>
      </x:c>
      <x:c r="G21" s="13" t="str">
        <x:v>March 8, 2026</x:v>
      </x:c>
      <x:c r="H21" s="13" t="str">
        <x:v>-</x:v>
      </x:c>
      <x:c r="I21" s="13" t="str">
        <x:v>Synthetic example: one party is a government office/official acting in official capacity; mark non-KP.</x:v>
      </x:c>
      <x:c r="J21" s="13" t="str">
        <x:v>Refer</x:v>
      </x:c>
      <x:c r="K21" s="13" t="str">
        <x:v>NON_KP_REFERRAL</x:v>
      </x:c>
      <x:c r="L21" s="13" t="str">
        <x:v>Not KP; government party disqualification</x:v>
      </x:c>
      <x:c r="M21" s="13" t="str">
        <x:v>Refer/route to proper government grievance, administrative, or legal office</x:v>
      </x:c>
      <x:c r="N21" s="13" t="str">
        <x:v>KP does not apply when a government office/entity is a party.</x:v>
      </x:c>
      <x:c r="O21" s="13" t="str"/>
      <x:c r="P21" s="13" t="str">
        <x:v>Reklamo laban sa public market administration office</x:v>
      </x:c>
      <x:c r="Q21" s="13" t="str">
        <x:v>Added to balance 'government-party' to 49 examples using the same Justice KP label schema.</x:v>
      </x:c>
      <x:c r="R21" s="13" t="str">
        <x:v>Synthetic row based on category coverage gap from uploaded PDF</x:v>
      </x:c>
    </x:row>
    <x:row r="22" ht="36" customHeight="1">
      <x:c r="A22" s="13" t="str">
        <x:v>SYN-GOV-021</x:v>
      </x:c>
      <x:c r="B22" s="13" t="str">
        <x:v>government-party</x:v>
      </x:c>
      <x:c r="C22" s="13" t="str">
        <x:v>Synthetic</x:v>
      </x:c>
      <x:c r="D22" s="13" t="str"/>
      <x:c r="E22" s="13" t="str">
        <x:v>Disqualified</x:v>
      </x:c>
      <x:c r="F22" s="13" t="str">
        <x:v>Reklamo laban sa city engineering office tungkol sa proyekto</x:v>
      </x:c>
      <x:c r="G22" s="13" t="str">
        <x:v>March 11, 2026</x:v>
      </x:c>
      <x:c r="H22" s="13" t="str">
        <x:v>-</x:v>
      </x:c>
      <x:c r="I22" s="13" t="str">
        <x:v>Synthetic example: one party is a government office/official acting in official capacity; mark non-KP.</x:v>
      </x:c>
      <x:c r="J22" s="13" t="str">
        <x:v>Refer</x:v>
      </x:c>
      <x:c r="K22" s="13" t="str">
        <x:v>NON_KP_REFERRAL</x:v>
      </x:c>
      <x:c r="L22" s="13" t="str">
        <x:v>Not KP; government party disqualification</x:v>
      </x:c>
      <x:c r="M22" s="13" t="str">
        <x:v>Refer/route to proper government grievance, administrative, or legal office</x:v>
      </x:c>
      <x:c r="N22" s="13" t="str">
        <x:v>KP does not apply when a government office/entity is a party.</x:v>
      </x:c>
      <x:c r="O22" s="13" t="str"/>
      <x:c r="P22" s="13" t="str">
        <x:v>Reklamo laban sa city engineering office tungkol sa proyekto</x:v>
      </x:c>
      <x:c r="Q22" s="13" t="str">
        <x:v>Added to balance 'government-party' to 49 examples using the same Justice KP label schema.</x:v>
      </x:c>
      <x:c r="R22" s="13" t="str">
        <x:v>Synthetic row based on category coverage gap from uploaded PDF</x:v>
      </x:c>
    </x:row>
    <x:row r="23" ht="36" customHeight="1">
      <x:c r="A23" s="13" t="str">
        <x:v>SYN-GOV-022</x:v>
      </x:c>
      <x:c r="B23" s="13" t="str">
        <x:v>government-party</x:v>
      </x:c>
      <x:c r="C23" s="13" t="str">
        <x:v>Synthetic</x:v>
      </x:c>
      <x:c r="D23" s="13" t="str"/>
      <x:c r="E23" s="13" t="str">
        <x:v>Disqualified</x:v>
      </x:c>
      <x:c r="F23" s="13" t="str">
        <x:v>Usapin kung saan ang respondent ay municipal government unit</x:v>
      </x:c>
      <x:c r="G23" s="13" t="str">
        <x:v>March 14, 2026</x:v>
      </x:c>
      <x:c r="H23" s="13" t="str">
        <x:v>-</x:v>
      </x:c>
      <x:c r="I23" s="13" t="str">
        <x:v>Synthetic example: one party is a government office/official acting in official capacity; mark non-KP.</x:v>
      </x:c>
      <x:c r="J23" s="13" t="str">
        <x:v>Refer</x:v>
      </x:c>
      <x:c r="K23" s="13" t="str">
        <x:v>NON_KP_REFERRAL</x:v>
      </x:c>
      <x:c r="L23" s="13" t="str">
        <x:v>Not KP; government party disqualification</x:v>
      </x:c>
      <x:c r="M23" s="13" t="str">
        <x:v>Refer/route to proper government grievance, administrative, or legal office</x:v>
      </x:c>
      <x:c r="N23" s="13" t="str">
        <x:v>KP does not apply when a government office/entity is a party.</x:v>
      </x:c>
      <x:c r="O23" s="13" t="str"/>
      <x:c r="P23" s="13" t="str">
        <x:v>Usapin kung saan ang respondent ay municipal government unit</x:v>
      </x:c>
      <x:c r="Q23" s="13" t="str">
        <x:v>Added to balance 'government-party' to 49 examples using the same Justice KP label schema.</x:v>
      </x:c>
      <x:c r="R23" s="13" t="str">
        <x:v>Synthetic row based on category coverage gap from uploaded PDF</x:v>
      </x:c>
    </x:row>
    <x:row r="24" ht="36" customHeight="1">
      <x:c r="A24" s="13" t="str">
        <x:v>SYN-GOV-023</x:v>
      </x:c>
      <x:c r="B24" s="13" t="str">
        <x:v>government-party</x:v>
      </x:c>
      <x:c r="C24" s="13" t="str">
        <x:v>Synthetic</x:v>
      </x:c>
      <x:c r="D24" s="13" t="str"/>
      <x:c r="E24" s="13" t="str">
        <x:v>Disqualified</x:v>
      </x:c>
      <x:c r="F24" s="13" t="str">
        <x:v>Reklamo laban sa barangay official kaugnay ng official duty</x:v>
      </x:c>
      <x:c r="G24" s="13" t="str">
        <x:v>March 17, 2026</x:v>
      </x:c>
      <x:c r="H24" s="13" t="str">
        <x:v>-</x:v>
      </x:c>
      <x:c r="I24" s="13" t="str">
        <x:v>Synthetic example: one party is a government office/official acting in official capacity; mark non-KP.</x:v>
      </x:c>
      <x:c r="J24" s="13" t="str">
        <x:v>Refer</x:v>
      </x:c>
      <x:c r="K24" s="13" t="str">
        <x:v>NON_KP_REFERRAL</x:v>
      </x:c>
      <x:c r="L24" s="13" t="str">
        <x:v>Not KP; government party disqualification</x:v>
      </x:c>
      <x:c r="M24" s="13" t="str">
        <x:v>Refer/route to proper government grievance, administrative, or legal office</x:v>
      </x:c>
      <x:c r="N24" s="13" t="str">
        <x:v>KP does not apply when a government office/entity is a party.</x:v>
      </x:c>
      <x:c r="O24" s="13" t="str"/>
      <x:c r="P24" s="13" t="str">
        <x:v>Reklamo laban sa barangay official kaugnay ng official duty</x:v>
      </x:c>
      <x:c r="Q24" s="13" t="str">
        <x:v>Added to balance 'government-party' to 49 examples using the same Justice KP label schema.</x:v>
      </x:c>
      <x:c r="R24" s="13" t="str">
        <x:v>Synthetic row based on category coverage gap from uploaded PDF</x:v>
      </x:c>
    </x:row>
    <x:row r="25" ht="36" customHeight="1">
      <x:c r="A25" s="13" t="str">
        <x:v>SYN-GOV-024</x:v>
      </x:c>
      <x:c r="B25" s="13" t="str">
        <x:v>government-party</x:v>
      </x:c>
      <x:c r="C25" s="13" t="str">
        <x:v>Synthetic</x:v>
      </x:c>
      <x:c r="D25" s="13" t="str"/>
      <x:c r="E25" s="13" t="str">
        <x:v>Disqualified</x:v>
      </x:c>
      <x:c r="F25" s="13" t="str">
        <x:v>Dispute laban sa public school office bilang party</x:v>
      </x:c>
      <x:c r="G25" s="13" t="str">
        <x:v>March 20, 2026</x:v>
      </x:c>
      <x:c r="H25" s="13" t="str">
        <x:v>-</x:v>
      </x:c>
      <x:c r="I25" s="13" t="str">
        <x:v>Synthetic example: one party is a government office/official acting in official capacity; mark non-KP.</x:v>
      </x:c>
      <x:c r="J25" s="13" t="str">
        <x:v>Refer</x:v>
      </x:c>
      <x:c r="K25" s="13" t="str">
        <x:v>NON_KP_REFERRAL</x:v>
      </x:c>
      <x:c r="L25" s="13" t="str">
        <x:v>Not KP; government party disqualification</x:v>
      </x:c>
      <x:c r="M25" s="13" t="str">
        <x:v>Refer/route to proper government grievance, administrative, or legal office</x:v>
      </x:c>
      <x:c r="N25" s="13" t="str">
        <x:v>KP does not apply when a government office/entity is a party.</x:v>
      </x:c>
      <x:c r="O25" s="13" t="str"/>
      <x:c r="P25" s="13" t="str">
        <x:v>Dispute laban sa public school office bilang party</x:v>
      </x:c>
      <x:c r="Q25" s="13" t="str">
        <x:v>Added to balance 'government-party' to 49 examples using the same Justice KP label schema.</x:v>
      </x:c>
      <x:c r="R25" s="13" t="str">
        <x:v>Synthetic row based on category coverage gap from uploaded PDF</x:v>
      </x:c>
    </x:row>
    <x:row r="26" ht="36" customHeight="1">
      <x:c r="A26" s="13" t="str">
        <x:v>SYN-GOV-025</x:v>
      </x:c>
      <x:c r="B26" s="13" t="str">
        <x:v>government-party</x:v>
      </x:c>
      <x:c r="C26" s="13" t="str">
        <x:v>Synthetic</x:v>
      </x:c>
      <x:c r="D26" s="13" t="str"/>
      <x:c r="E26" s="13" t="str">
        <x:v>Disqualified</x:v>
      </x:c>
      <x:c r="F26" s="13" t="str">
        <x:v>Reklamo sa water district na government-controlled utility</x:v>
      </x:c>
      <x:c r="G26" s="13" t="str">
        <x:v>March 23, 2026</x:v>
      </x:c>
      <x:c r="H26" s="13" t="str">
        <x:v>-</x:v>
      </x:c>
      <x:c r="I26" s="13" t="str">
        <x:v>Synthetic example: one party is a government office/official acting in official capacity; mark non-KP.</x:v>
      </x:c>
      <x:c r="J26" s="13" t="str">
        <x:v>Refer</x:v>
      </x:c>
      <x:c r="K26" s="13" t="str">
        <x:v>NON_KP_REFERRAL</x:v>
      </x:c>
      <x:c r="L26" s="13" t="str">
        <x:v>Not KP; government party disqualification</x:v>
      </x:c>
      <x:c r="M26" s="13" t="str">
        <x:v>Refer/route to proper government grievance, administrative, or legal office</x:v>
      </x:c>
      <x:c r="N26" s="13" t="str">
        <x:v>KP does not apply when a government office/entity is a party.</x:v>
      </x:c>
      <x:c r="O26" s="13" t="str"/>
      <x:c r="P26" s="13" t="str">
        <x:v>Reklamo sa water district na government-controlled utility</x:v>
      </x:c>
      <x:c r="Q26" s="13" t="str">
        <x:v>Added to balance 'government-party' to 49 examples using the same Justice KP label schema.</x:v>
      </x:c>
      <x:c r="R26" s="13" t="str">
        <x:v>Synthetic row based on category coverage gap from uploaded PDF</x:v>
      </x:c>
    </x:row>
    <x:row r="27" ht="36" customHeight="1">
      <x:c r="A27" s="13" t="str">
        <x:v>SYN-GOV-026</x:v>
      </x:c>
      <x:c r="B27" s="13" t="str">
        <x:v>government-party</x:v>
      </x:c>
      <x:c r="C27" s="13" t="str">
        <x:v>Synthetic</x:v>
      </x:c>
      <x:c r="D27" s="13" t="str"/>
      <x:c r="E27" s="13" t="str">
        <x:v>Disqualified</x:v>
      </x:c>
      <x:c r="F27" s="13" t="str">
        <x:v>Reklamo laban sa police officer kaugnay ng opisyal na tungkulin</x:v>
      </x:c>
      <x:c r="G27" s="13" t="str">
        <x:v>March 26, 2026</x:v>
      </x:c>
      <x:c r="H27" s="13" t="str">
        <x:v>-</x:v>
      </x:c>
      <x:c r="I27" s="13" t="str">
        <x:v>Synthetic example: one party is a government office/official acting in official capacity; mark non-KP.</x:v>
      </x:c>
      <x:c r="J27" s="13" t="str">
        <x:v>Refer</x:v>
      </x:c>
      <x:c r="K27" s="13" t="str">
        <x:v>NON_KP_REFERRAL</x:v>
      </x:c>
      <x:c r="L27" s="13" t="str">
        <x:v>Not KP; government party disqualification</x:v>
      </x:c>
      <x:c r="M27" s="13" t="str">
        <x:v>Refer/route to proper government grievance, administrative, or legal office</x:v>
      </x:c>
      <x:c r="N27" s="13" t="str">
        <x:v>KP does not apply when a government office/entity is a party.</x:v>
      </x:c>
      <x:c r="O27" s="13" t="str"/>
      <x:c r="P27" s="13" t="str">
        <x:v>Reklamo laban sa police officer kaugnay ng opisyal na tungkulin</x:v>
      </x:c>
      <x:c r="Q27" s="13" t="str">
        <x:v>Added to balance 'government-party' to 49 examples using the same Justice KP label schema.</x:v>
      </x:c>
      <x:c r="R27" s="13" t="str">
        <x:v>Synthetic row based on category coverage gap from uploaded PDF</x:v>
      </x:c>
    </x:row>
    <x:row r="28" ht="36" customHeight="1">
      <x:c r="A28" s="13" t="str">
        <x:v>SYN-GOV-027</x:v>
      </x:c>
      <x:c r="B28" s="13" t="str">
        <x:v>government-party</x:v>
      </x:c>
      <x:c r="C28" s="13" t="str">
        <x:v>Synthetic</x:v>
      </x:c>
      <x:c r="D28" s="13" t="str"/>
      <x:c r="E28" s="13" t="str">
        <x:v>Disqualified</x:v>
      </x:c>
      <x:c r="F28" s="13" t="str">
        <x:v>Usapin sa provincial office bilang respondent</x:v>
      </x:c>
      <x:c r="G28" s="13" t="str">
        <x:v>March 29, 2026</x:v>
      </x:c>
      <x:c r="H28" s="13" t="str">
        <x:v>-</x:v>
      </x:c>
      <x:c r="I28" s="13" t="str">
        <x:v>Synthetic example: one party is a government office/official acting in official capacity; mark non-KP.</x:v>
      </x:c>
      <x:c r="J28" s="13" t="str">
        <x:v>Refer</x:v>
      </x:c>
      <x:c r="K28" s="13" t="str">
        <x:v>NON_KP_REFERRAL</x:v>
      </x:c>
      <x:c r="L28" s="13" t="str">
        <x:v>Not KP; government party disqualification</x:v>
      </x:c>
      <x:c r="M28" s="13" t="str">
        <x:v>Refer/route to proper government grievance, administrative, or legal office</x:v>
      </x:c>
      <x:c r="N28" s="13" t="str">
        <x:v>KP does not apply when a government office/entity is a party.</x:v>
      </x:c>
      <x:c r="O28" s="13" t="str"/>
      <x:c r="P28" s="13" t="str">
        <x:v>Usapin sa provincial office bilang respondent</x:v>
      </x:c>
      <x:c r="Q28" s="13" t="str">
        <x:v>Added to balance 'government-party' to 49 examples using the same Justice KP label schema.</x:v>
      </x:c>
      <x:c r="R28" s="13" t="str">
        <x:v>Synthetic row based on category coverage gap from uploaded PDF</x:v>
      </x:c>
    </x:row>
    <x:row r="29" ht="36" customHeight="1">
      <x:c r="A29" s="13" t="str">
        <x:v>SYN-GOV-028</x:v>
      </x:c>
      <x:c r="B29" s="13" t="str">
        <x:v>government-party</x:v>
      </x:c>
      <x:c r="C29" s="13" t="str">
        <x:v>Synthetic</x:v>
      </x:c>
      <x:c r="D29" s="13" t="str"/>
      <x:c r="E29" s="13" t="str">
        <x:v>Disqualified</x:v>
      </x:c>
      <x:c r="F29" s="13" t="str">
        <x:v>Reklamo laban sa government hospital billing office</x:v>
      </x:c>
      <x:c r="G29" s="13" t="str">
        <x:v>April 1, 2026</x:v>
      </x:c>
      <x:c r="H29" s="13" t="str">
        <x:v>-</x:v>
      </x:c>
      <x:c r="I29" s="13" t="str">
        <x:v>Synthetic example: one party is a government office/official acting in official capacity; mark non-KP.</x:v>
      </x:c>
      <x:c r="J29" s="13" t="str">
        <x:v>Refer</x:v>
      </x:c>
      <x:c r="K29" s="13" t="str">
        <x:v>NON_KP_REFERRAL</x:v>
      </x:c>
      <x:c r="L29" s="13" t="str">
        <x:v>Not KP; government party disqualification</x:v>
      </x:c>
      <x:c r="M29" s="13" t="str">
        <x:v>Refer/route to proper government grievance, administrative, or legal office</x:v>
      </x:c>
      <x:c r="N29" s="13" t="str">
        <x:v>KP does not apply when a government office/entity is a party.</x:v>
      </x:c>
      <x:c r="O29" s="13" t="str"/>
      <x:c r="P29" s="13" t="str">
        <x:v>Reklamo laban sa government hospital billing office</x:v>
      </x:c>
      <x:c r="Q29" s="13" t="str">
        <x:v>Added to balance 'government-party' to 49 examples using the same Justice KP label schema.</x:v>
      </x:c>
      <x:c r="R29" s="13" t="str">
        <x:v>Synthetic row based on category coverage gap from uploaded PDF</x:v>
      </x:c>
    </x:row>
    <x:row r="30" ht="36" customHeight="1">
      <x:c r="A30" s="13" t="str">
        <x:v>SYN-GOV-029</x:v>
      </x:c>
      <x:c r="B30" s="13" t="str">
        <x:v>government-party</x:v>
      </x:c>
      <x:c r="C30" s="13" t="str">
        <x:v>Synthetic</x:v>
      </x:c>
      <x:c r="D30" s="13" t="str"/>
      <x:c r="E30" s="13" t="str">
        <x:v>Disqualified</x:v>
      </x:c>
      <x:c r="F30" s="13" t="str">
        <x:v>Dispute sa road-clearing action ng municipal office</x:v>
      </x:c>
      <x:c r="G30" s="13" t="str">
        <x:v>April 4, 2026</x:v>
      </x:c>
      <x:c r="H30" s="13" t="str">
        <x:v>-</x:v>
      </x:c>
      <x:c r="I30" s="13" t="str">
        <x:v>Synthetic example: one party is a government office/official acting in official capacity; mark non-KP.</x:v>
      </x:c>
      <x:c r="J30" s="13" t="str">
        <x:v>Refer</x:v>
      </x:c>
      <x:c r="K30" s="13" t="str">
        <x:v>NON_KP_REFERRAL</x:v>
      </x:c>
      <x:c r="L30" s="13" t="str">
        <x:v>Not KP; government party disqualification</x:v>
      </x:c>
      <x:c r="M30" s="13" t="str">
        <x:v>Refer/route to proper government grievance, administrative, or legal office</x:v>
      </x:c>
      <x:c r="N30" s="13" t="str">
        <x:v>KP does not apply when a government office/entity is a party.</x:v>
      </x:c>
      <x:c r="O30" s="13" t="str"/>
      <x:c r="P30" s="13" t="str">
        <x:v>Dispute sa road-clearing action ng municipal office</x:v>
      </x:c>
      <x:c r="Q30" s="13" t="str">
        <x:v>Added to balance 'government-party' to 49 examples using the same Justice KP label schema.</x:v>
      </x:c>
      <x:c r="R30" s="13" t="str">
        <x:v>Synthetic row based on category coverage gap from uploaded PDF</x:v>
      </x:c>
    </x:row>
    <x:row r="31" ht="36" customHeight="1">
      <x:c r="A31" s="13" t="str">
        <x:v>SYN-GOV-030</x:v>
      </x:c>
      <x:c r="B31" s="13" t="str">
        <x:v>government-party</x:v>
      </x:c>
      <x:c r="C31" s="13" t="str">
        <x:v>Synthetic</x:v>
      </x:c>
      <x:c r="D31" s="13" t="str"/>
      <x:c r="E31" s="13" t="str">
        <x:v>Disqualified</x:v>
      </x:c>
      <x:c r="F31" s="13" t="str">
        <x:v>Reklamo laban sa public market administration office</x:v>
      </x:c>
      <x:c r="G31" s="13" t="str">
        <x:v>April 7, 2026</x:v>
      </x:c>
      <x:c r="H31" s="13" t="str">
        <x:v>-</x:v>
      </x:c>
      <x:c r="I31" s="13" t="str">
        <x:v>Synthetic example: one party is a government office/official acting in official capacity; mark non-KP.</x:v>
      </x:c>
      <x:c r="J31" s="13" t="str">
        <x:v>Refer</x:v>
      </x:c>
      <x:c r="K31" s="13" t="str">
        <x:v>NON_KP_REFERRAL</x:v>
      </x:c>
      <x:c r="L31" s="13" t="str">
        <x:v>Not KP; government party disqualification</x:v>
      </x:c>
      <x:c r="M31" s="13" t="str">
        <x:v>Refer/route to proper government grievance, administrative, or legal office</x:v>
      </x:c>
      <x:c r="N31" s="13" t="str">
        <x:v>KP does not apply when a government office/entity is a party.</x:v>
      </x:c>
      <x:c r="O31" s="13" t="str"/>
      <x:c r="P31" s="13" t="str">
        <x:v>Reklamo laban sa public market administration office</x:v>
      </x:c>
      <x:c r="Q31" s="13" t="str">
        <x:v>Added to balance 'government-party' to 49 examples using the same Justice KP label schema.</x:v>
      </x:c>
      <x:c r="R31" s="13" t="str">
        <x:v>Synthetic row based on category coverage gap from uploaded PDF</x:v>
      </x:c>
    </x:row>
    <x:row r="32" ht="36" customHeight="1">
      <x:c r="A32" s="13" t="str">
        <x:v>SYN-GOV-031</x:v>
      </x:c>
      <x:c r="B32" s="13" t="str">
        <x:v>government-party</x:v>
      </x:c>
      <x:c r="C32" s="13" t="str">
        <x:v>Synthetic</x:v>
      </x:c>
      <x:c r="D32" s="13" t="str"/>
      <x:c r="E32" s="13" t="str">
        <x:v>Disqualified</x:v>
      </x:c>
      <x:c r="F32" s="13" t="str">
        <x:v>Reklamo laban sa city engineering office tungkol sa proyekto</x:v>
      </x:c>
      <x:c r="G32" s="13" t="str">
        <x:v>April 10, 2026</x:v>
      </x:c>
      <x:c r="H32" s="13" t="str">
        <x:v>-</x:v>
      </x:c>
      <x:c r="I32" s="13" t="str">
        <x:v>Synthetic example: one party is a government office/official acting in official capacity; mark non-KP.</x:v>
      </x:c>
      <x:c r="J32" s="13" t="str">
        <x:v>Refer</x:v>
      </x:c>
      <x:c r="K32" s="13" t="str">
        <x:v>NON_KP_REFERRAL</x:v>
      </x:c>
      <x:c r="L32" s="13" t="str">
        <x:v>Not KP; government party disqualification</x:v>
      </x:c>
      <x:c r="M32" s="13" t="str">
        <x:v>Refer/route to proper government grievance, administrative, or legal office</x:v>
      </x:c>
      <x:c r="N32" s="13" t="str">
        <x:v>KP does not apply when a government office/entity is a party.</x:v>
      </x:c>
      <x:c r="O32" s="13" t="str"/>
      <x:c r="P32" s="13" t="str">
        <x:v>Reklamo laban sa city engineering office tungkol sa proyekto</x:v>
      </x:c>
      <x:c r="Q32" s="13" t="str">
        <x:v>Added to balance 'government-party' to 49 examples using the same Justice KP label schema.</x:v>
      </x:c>
      <x:c r="R32" s="13" t="str">
        <x:v>Synthetic row based on category coverage gap from uploaded PDF</x:v>
      </x:c>
    </x:row>
    <x:row r="33" ht="36" customHeight="1">
      <x:c r="A33" s="13" t="str">
        <x:v>SYN-GOV-032</x:v>
      </x:c>
      <x:c r="B33" s="13" t="str">
        <x:v>government-party</x:v>
      </x:c>
      <x:c r="C33" s="13" t="str">
        <x:v>Synthetic</x:v>
      </x:c>
      <x:c r="D33" s="13" t="str"/>
      <x:c r="E33" s="13" t="str">
        <x:v>Disqualified</x:v>
      </x:c>
      <x:c r="F33" s="13" t="str">
        <x:v>Usapin kung saan ang respondent ay municipal government unit</x:v>
      </x:c>
      <x:c r="G33" s="13" t="str">
        <x:v>April 13, 2026</x:v>
      </x:c>
      <x:c r="H33" s="13" t="str">
        <x:v>-</x:v>
      </x:c>
      <x:c r="I33" s="13" t="str">
        <x:v>Synthetic example: one party is a government office/official acting in official capacity; mark non-KP.</x:v>
      </x:c>
      <x:c r="J33" s="13" t="str">
        <x:v>Refer</x:v>
      </x:c>
      <x:c r="K33" s="13" t="str">
        <x:v>NON_KP_REFERRAL</x:v>
      </x:c>
      <x:c r="L33" s="13" t="str">
        <x:v>Not KP; government party disqualification</x:v>
      </x:c>
      <x:c r="M33" s="13" t="str">
        <x:v>Refer/route to proper government grievance, administrative, or legal office</x:v>
      </x:c>
      <x:c r="N33" s="13" t="str">
        <x:v>KP does not apply when a government office/entity is a party.</x:v>
      </x:c>
      <x:c r="O33" s="13" t="str"/>
      <x:c r="P33" s="13" t="str">
        <x:v>Usapin kung saan ang respondent ay municipal government unit</x:v>
      </x:c>
      <x:c r="Q33" s="13" t="str">
        <x:v>Added to balance 'government-party' to 49 examples using the same Justice KP label schema.</x:v>
      </x:c>
      <x:c r="R33" s="13" t="str">
        <x:v>Synthetic row based on category coverage gap from uploaded PDF</x:v>
      </x:c>
    </x:row>
    <x:row r="34" ht="36" customHeight="1">
      <x:c r="A34" s="13" t="str">
        <x:v>SYN-GOV-033</x:v>
      </x:c>
      <x:c r="B34" s="13" t="str">
        <x:v>government-party</x:v>
      </x:c>
      <x:c r="C34" s="13" t="str">
        <x:v>Synthetic</x:v>
      </x:c>
      <x:c r="D34" s="13" t="str"/>
      <x:c r="E34" s="13" t="str">
        <x:v>Disqualified</x:v>
      </x:c>
      <x:c r="F34" s="13" t="str">
        <x:v>Reklamo laban sa barangay official kaugnay ng official duty</x:v>
      </x:c>
      <x:c r="G34" s="13" t="str">
        <x:v>April 16, 2026</x:v>
      </x:c>
      <x:c r="H34" s="13" t="str">
        <x:v>-</x:v>
      </x:c>
      <x:c r="I34" s="13" t="str">
        <x:v>Synthetic example: one party is a government office/official acting in official capacity; mark non-KP.</x:v>
      </x:c>
      <x:c r="J34" s="13" t="str">
        <x:v>Refer</x:v>
      </x:c>
      <x:c r="K34" s="13" t="str">
        <x:v>NON_KP_REFERRAL</x:v>
      </x:c>
      <x:c r="L34" s="13" t="str">
        <x:v>Not KP; government party disqualification</x:v>
      </x:c>
      <x:c r="M34" s="13" t="str">
        <x:v>Refer/route to proper government grievance, administrative, or legal office</x:v>
      </x:c>
      <x:c r="N34" s="13" t="str">
        <x:v>KP does not apply when a government office/entity is a party.</x:v>
      </x:c>
      <x:c r="O34" s="13" t="str"/>
      <x:c r="P34" s="13" t="str">
        <x:v>Reklamo laban sa barangay official kaugnay ng official duty</x:v>
      </x:c>
      <x:c r="Q34" s="13" t="str">
        <x:v>Added to balance 'government-party' to 49 examples using the same Justice KP label schema.</x:v>
      </x:c>
      <x:c r="R34" s="13" t="str">
        <x:v>Synthetic row based on category coverage gap from uploaded PDF</x:v>
      </x:c>
    </x:row>
    <x:row r="35" ht="36" customHeight="1">
      <x:c r="A35" s="13" t="str">
        <x:v>SYN-GOV-034</x:v>
      </x:c>
      <x:c r="B35" s="13" t="str">
        <x:v>government-party</x:v>
      </x:c>
      <x:c r="C35" s="13" t="str">
        <x:v>Synthetic</x:v>
      </x:c>
      <x:c r="D35" s="13" t="str"/>
      <x:c r="E35" s="13" t="str">
        <x:v>Disqualified</x:v>
      </x:c>
      <x:c r="F35" s="13" t="str">
        <x:v>Dispute laban sa public school office bilang party</x:v>
      </x:c>
      <x:c r="G35" s="13" t="str">
        <x:v>April 19, 2026</x:v>
      </x:c>
      <x:c r="H35" s="13" t="str">
        <x:v>-</x:v>
      </x:c>
      <x:c r="I35" s="13" t="str">
        <x:v>Synthetic example: one party is a government office/official acting in official capacity; mark non-KP.</x:v>
      </x:c>
      <x:c r="J35" s="13" t="str">
        <x:v>Refer</x:v>
      </x:c>
      <x:c r="K35" s="13" t="str">
        <x:v>NON_KP_REFERRAL</x:v>
      </x:c>
      <x:c r="L35" s="13" t="str">
        <x:v>Not KP; government party disqualification</x:v>
      </x:c>
      <x:c r="M35" s="13" t="str">
        <x:v>Refer/route to proper government grievance, administrative, or legal office</x:v>
      </x:c>
      <x:c r="N35" s="13" t="str">
        <x:v>KP does not apply when a government office/entity is a party.</x:v>
      </x:c>
      <x:c r="O35" s="13" t="str"/>
      <x:c r="P35" s="13" t="str">
        <x:v>Dispute laban sa public school office bilang party</x:v>
      </x:c>
      <x:c r="Q35" s="13" t="str">
        <x:v>Added to balance 'government-party' to 49 examples using the same Justice KP label schema.</x:v>
      </x:c>
      <x:c r="R35" s="13" t="str">
        <x:v>Synthetic row based on category coverage gap from uploaded PDF</x:v>
      </x:c>
    </x:row>
    <x:row r="36" ht="36" customHeight="1">
      <x:c r="A36" s="13" t="str">
        <x:v>SYN-GOV-035</x:v>
      </x:c>
      <x:c r="B36" s="13" t="str">
        <x:v>government-party</x:v>
      </x:c>
      <x:c r="C36" s="13" t="str">
        <x:v>Synthetic</x:v>
      </x:c>
      <x:c r="D36" s="13" t="str"/>
      <x:c r="E36" s="13" t="str">
        <x:v>Disqualified</x:v>
      </x:c>
      <x:c r="F36" s="13" t="str">
        <x:v>Reklamo sa water district na government-controlled utility</x:v>
      </x:c>
      <x:c r="G36" s="13" t="str">
        <x:v>April 22, 2026</x:v>
      </x:c>
      <x:c r="H36" s="13" t="str">
        <x:v>-</x:v>
      </x:c>
      <x:c r="I36" s="13" t="str">
        <x:v>Synthetic example: one party is a government office/official acting in official capacity; mark non-KP.</x:v>
      </x:c>
      <x:c r="J36" s="13" t="str">
        <x:v>Refer</x:v>
      </x:c>
      <x:c r="K36" s="13" t="str">
        <x:v>NON_KP_REFERRAL</x:v>
      </x:c>
      <x:c r="L36" s="13" t="str">
        <x:v>Not KP; government party disqualification</x:v>
      </x:c>
      <x:c r="M36" s="13" t="str">
        <x:v>Refer/route to proper government grievance, administrative, or legal office</x:v>
      </x:c>
      <x:c r="N36" s="13" t="str">
        <x:v>KP does not apply when a government office/entity is a party.</x:v>
      </x:c>
      <x:c r="O36" s="13" t="str"/>
      <x:c r="P36" s="13" t="str">
        <x:v>Reklamo sa water district na government-controlled utility</x:v>
      </x:c>
      <x:c r="Q36" s="13" t="str">
        <x:v>Added to balance 'government-party' to 49 examples using the same Justice KP label schema.</x:v>
      </x:c>
      <x:c r="R36" s="13" t="str">
        <x:v>Synthetic row based on category coverage gap from uploaded PDF</x:v>
      </x:c>
    </x:row>
    <x:row r="37" ht="36" customHeight="1">
      <x:c r="A37" s="13" t="str">
        <x:v>SYN-GOV-036</x:v>
      </x:c>
      <x:c r="B37" s="13" t="str">
        <x:v>government-party</x:v>
      </x:c>
      <x:c r="C37" s="13" t="str">
        <x:v>Synthetic</x:v>
      </x:c>
      <x:c r="D37" s="13" t="str"/>
      <x:c r="E37" s="13" t="str">
        <x:v>Disqualified</x:v>
      </x:c>
      <x:c r="F37" s="13" t="str">
        <x:v>Reklamo laban sa police officer kaugnay ng opisyal na tungkulin</x:v>
      </x:c>
      <x:c r="G37" s="13" t="str">
        <x:v>April 25, 2026</x:v>
      </x:c>
      <x:c r="H37" s="13" t="str">
        <x:v>-</x:v>
      </x:c>
      <x:c r="I37" s="13" t="str">
        <x:v>Synthetic example: one party is a government office/official acting in official capacity; mark non-KP.</x:v>
      </x:c>
      <x:c r="J37" s="13" t="str">
        <x:v>Refer</x:v>
      </x:c>
      <x:c r="K37" s="13" t="str">
        <x:v>NON_KP_REFERRAL</x:v>
      </x:c>
      <x:c r="L37" s="13" t="str">
        <x:v>Not KP; government party disqualification</x:v>
      </x:c>
      <x:c r="M37" s="13" t="str">
        <x:v>Refer/route to proper government grievance, administrative, or legal office</x:v>
      </x:c>
      <x:c r="N37" s="13" t="str">
        <x:v>KP does not apply when a government office/entity is a party.</x:v>
      </x:c>
      <x:c r="O37" s="13" t="str"/>
      <x:c r="P37" s="13" t="str">
        <x:v>Reklamo laban sa police officer kaugnay ng opisyal na tungkulin</x:v>
      </x:c>
      <x:c r="Q37" s="13" t="str">
        <x:v>Added to balance 'government-party' to 49 examples using the same Justice KP label schema.</x:v>
      </x:c>
      <x:c r="R37" s="13" t="str">
        <x:v>Synthetic row based on category coverage gap from uploaded PDF</x:v>
      </x:c>
    </x:row>
    <x:row r="38" ht="36" customHeight="1">
      <x:c r="A38" s="13" t="str">
        <x:v>SYN-GOV-037</x:v>
      </x:c>
      <x:c r="B38" s="13" t="str">
        <x:v>government-party</x:v>
      </x:c>
      <x:c r="C38" s="13" t="str">
        <x:v>Synthetic</x:v>
      </x:c>
      <x:c r="D38" s="13" t="str"/>
      <x:c r="E38" s="13" t="str">
        <x:v>Disqualified</x:v>
      </x:c>
      <x:c r="F38" s="13" t="str">
        <x:v>Usapin sa provincial office bilang respondent</x:v>
      </x:c>
      <x:c r="G38" s="13" t="str">
        <x:v>April 28, 2026</x:v>
      </x:c>
      <x:c r="H38" s="13" t="str">
        <x:v>-</x:v>
      </x:c>
      <x:c r="I38" s="13" t="str">
        <x:v>Synthetic example: one party is a government office/official acting in official capacity; mark non-KP.</x:v>
      </x:c>
      <x:c r="J38" s="13" t="str">
        <x:v>Refer</x:v>
      </x:c>
      <x:c r="K38" s="13" t="str">
        <x:v>NON_KP_REFERRAL</x:v>
      </x:c>
      <x:c r="L38" s="13" t="str">
        <x:v>Not KP; government party disqualification</x:v>
      </x:c>
      <x:c r="M38" s="13" t="str">
        <x:v>Refer/route to proper government grievance, administrative, or legal office</x:v>
      </x:c>
      <x:c r="N38" s="13" t="str">
        <x:v>KP does not apply when a government office/entity is a party.</x:v>
      </x:c>
      <x:c r="O38" s="13" t="str"/>
      <x:c r="P38" s="13" t="str">
        <x:v>Usapin sa provincial office bilang respondent</x:v>
      </x:c>
      <x:c r="Q38" s="13" t="str">
        <x:v>Added to balance 'government-party' to 49 examples using the same Justice KP label schema.</x:v>
      </x:c>
      <x:c r="R38" s="13" t="str">
        <x:v>Synthetic row based on category coverage gap from uploaded PDF</x:v>
      </x:c>
    </x:row>
    <x:row r="39" ht="36" customHeight="1">
      <x:c r="A39" s="13" t="str">
        <x:v>SYN-GOV-038</x:v>
      </x:c>
      <x:c r="B39" s="13" t="str">
        <x:v>government-party</x:v>
      </x:c>
      <x:c r="C39" s="13" t="str">
        <x:v>Synthetic</x:v>
      </x:c>
      <x:c r="D39" s="13" t="str"/>
      <x:c r="E39" s="13" t="str">
        <x:v>Disqualified</x:v>
      </x:c>
      <x:c r="F39" s="13" t="str">
        <x:v>Reklamo laban sa government hospital billing office</x:v>
      </x:c>
      <x:c r="G39" s="13" t="str">
        <x:v>May 1, 2026</x:v>
      </x:c>
      <x:c r="H39" s="13" t="str">
        <x:v>-</x:v>
      </x:c>
      <x:c r="I39" s="13" t="str">
        <x:v>Synthetic example: one party is a government office/official acting in official capacity; mark non-KP.</x:v>
      </x:c>
      <x:c r="J39" s="13" t="str">
        <x:v>Refer</x:v>
      </x:c>
      <x:c r="K39" s="13" t="str">
        <x:v>NON_KP_REFERRAL</x:v>
      </x:c>
      <x:c r="L39" s="13" t="str">
        <x:v>Not KP; government party disqualification</x:v>
      </x:c>
      <x:c r="M39" s="13" t="str">
        <x:v>Refer/route to proper government grievance, administrative, or legal office</x:v>
      </x:c>
      <x:c r="N39" s="13" t="str">
        <x:v>KP does not apply when a government office/entity is a party.</x:v>
      </x:c>
      <x:c r="O39" s="13" t="str"/>
      <x:c r="P39" s="13" t="str">
        <x:v>Reklamo laban sa government hospital billing office</x:v>
      </x:c>
      <x:c r="Q39" s="13" t="str">
        <x:v>Added to balance 'government-party' to 49 examples using the same Justice KP label schema.</x:v>
      </x:c>
      <x:c r="R39" s="13" t="str">
        <x:v>Synthetic row based on category coverage gap from uploaded PDF</x:v>
      </x:c>
    </x:row>
    <x:row r="40" ht="36" customHeight="1">
      <x:c r="A40" s="13" t="str">
        <x:v>SYN-GOV-039</x:v>
      </x:c>
      <x:c r="B40" s="13" t="str">
        <x:v>government-party</x:v>
      </x:c>
      <x:c r="C40" s="13" t="str">
        <x:v>Synthetic</x:v>
      </x:c>
      <x:c r="D40" s="13" t="str"/>
      <x:c r="E40" s="13" t="str">
        <x:v>Disqualified</x:v>
      </x:c>
      <x:c r="F40" s="13" t="str">
        <x:v>Dispute sa road-clearing action ng municipal office</x:v>
      </x:c>
      <x:c r="G40" s="13" t="str">
        <x:v>May 4, 2026</x:v>
      </x:c>
      <x:c r="H40" s="13" t="str">
        <x:v>-</x:v>
      </x:c>
      <x:c r="I40" s="13" t="str">
        <x:v>Synthetic example: one party is a government office/official acting in official capacity; mark non-KP.</x:v>
      </x:c>
      <x:c r="J40" s="13" t="str">
        <x:v>Refer</x:v>
      </x:c>
      <x:c r="K40" s="13" t="str">
        <x:v>NON_KP_REFERRAL</x:v>
      </x:c>
      <x:c r="L40" s="13" t="str">
        <x:v>Not KP; government party disqualification</x:v>
      </x:c>
      <x:c r="M40" s="13" t="str">
        <x:v>Refer/route to proper government grievance, administrative, or legal office</x:v>
      </x:c>
      <x:c r="N40" s="13" t="str">
        <x:v>KP does not apply when a government office/entity is a party.</x:v>
      </x:c>
      <x:c r="O40" s="13" t="str"/>
      <x:c r="P40" s="13" t="str">
        <x:v>Dispute sa road-clearing action ng municipal office</x:v>
      </x:c>
      <x:c r="Q40" s="13" t="str">
        <x:v>Added to balance 'government-party' to 49 examples using the same Justice KP label schema.</x:v>
      </x:c>
      <x:c r="R40" s="13" t="str">
        <x:v>Synthetic row based on category coverage gap from uploaded PDF</x:v>
      </x:c>
    </x:row>
    <x:row r="41" ht="36" customHeight="1">
      <x:c r="A41" s="13" t="str">
        <x:v>SYN-GOV-040</x:v>
      </x:c>
      <x:c r="B41" s="13" t="str">
        <x:v>government-party</x:v>
      </x:c>
      <x:c r="C41" s="13" t="str">
        <x:v>Synthetic</x:v>
      </x:c>
      <x:c r="D41" s="13" t="str"/>
      <x:c r="E41" s="13" t="str">
        <x:v>Disqualified</x:v>
      </x:c>
      <x:c r="F41" s="13" t="str">
        <x:v>Reklamo laban sa public market administration office</x:v>
      </x:c>
      <x:c r="G41" s="13" t="str">
        <x:v>May 7, 2026</x:v>
      </x:c>
      <x:c r="H41" s="13" t="str">
        <x:v>-</x:v>
      </x:c>
      <x:c r="I41" s="13" t="str">
        <x:v>Synthetic example: one party is a government office/official acting in official capacity; mark non-KP.</x:v>
      </x:c>
      <x:c r="J41" s="13" t="str">
        <x:v>Refer</x:v>
      </x:c>
      <x:c r="K41" s="13" t="str">
        <x:v>NON_KP_REFERRAL</x:v>
      </x:c>
      <x:c r="L41" s="13" t="str">
        <x:v>Not KP; government party disqualification</x:v>
      </x:c>
      <x:c r="M41" s="13" t="str">
        <x:v>Refer/route to proper government grievance, administrative, or legal office</x:v>
      </x:c>
      <x:c r="N41" s="13" t="str">
        <x:v>KP does not apply when a government office/entity is a party.</x:v>
      </x:c>
      <x:c r="O41" s="13" t="str"/>
      <x:c r="P41" s="13" t="str">
        <x:v>Reklamo laban sa public market administration office</x:v>
      </x:c>
      <x:c r="Q41" s="13" t="str">
        <x:v>Added to balance 'government-party' to 49 examples using the same Justice KP label schema.</x:v>
      </x:c>
      <x:c r="R41" s="13" t="str">
        <x:v>Synthetic row based on category coverage gap from uploaded PDF</x:v>
      </x:c>
    </x:row>
    <x:row r="42" ht="36" customHeight="1">
      <x:c r="A42" s="13" t="str">
        <x:v>SYN-GOV-041</x:v>
      </x:c>
      <x:c r="B42" s="13" t="str">
        <x:v>government-party</x:v>
      </x:c>
      <x:c r="C42" s="13" t="str">
        <x:v>Synthetic</x:v>
      </x:c>
      <x:c r="D42" s="13" t="str"/>
      <x:c r="E42" s="13" t="str">
        <x:v>Disqualified</x:v>
      </x:c>
      <x:c r="F42" s="13" t="str">
        <x:v>Reklamo laban sa city engineering office tungkol sa proyekto</x:v>
      </x:c>
      <x:c r="G42" s="13" t="str">
        <x:v>May 10, 2026</x:v>
      </x:c>
      <x:c r="H42" s="13" t="str">
        <x:v>-</x:v>
      </x:c>
      <x:c r="I42" s="13" t="str">
        <x:v>Synthetic example: one party is a government office/official acting in official capacity; mark non-KP.</x:v>
      </x:c>
      <x:c r="J42" s="13" t="str">
        <x:v>Refer</x:v>
      </x:c>
      <x:c r="K42" s="13" t="str">
        <x:v>NON_KP_REFERRAL</x:v>
      </x:c>
      <x:c r="L42" s="13" t="str">
        <x:v>Not KP; government party disqualification</x:v>
      </x:c>
      <x:c r="M42" s="13" t="str">
        <x:v>Refer/route to proper government grievance, administrative, or legal office</x:v>
      </x:c>
      <x:c r="N42" s="13" t="str">
        <x:v>KP does not apply when a government office/entity is a party.</x:v>
      </x:c>
      <x:c r="O42" s="13" t="str"/>
      <x:c r="P42" s="13" t="str">
        <x:v>Reklamo laban sa city engineering office tungkol sa proyekto</x:v>
      </x:c>
      <x:c r="Q42" s="13" t="str">
        <x:v>Added to balance 'government-party' to 49 examples using the same Justice KP label schema.</x:v>
      </x:c>
      <x:c r="R42" s="13" t="str">
        <x:v>Synthetic row based on category coverage gap from uploaded PDF</x:v>
      </x:c>
    </x:row>
    <x:row r="43" ht="36" customHeight="1">
      <x:c r="A43" s="13" t="str">
        <x:v>SYN-GOV-042</x:v>
      </x:c>
      <x:c r="B43" s="13" t="str">
        <x:v>government-party</x:v>
      </x:c>
      <x:c r="C43" s="13" t="str">
        <x:v>Synthetic</x:v>
      </x:c>
      <x:c r="D43" s="13" t="str"/>
      <x:c r="E43" s="13" t="str">
        <x:v>Disqualified</x:v>
      </x:c>
      <x:c r="F43" s="13" t="str">
        <x:v>Usapin kung saan ang respondent ay municipal government unit</x:v>
      </x:c>
      <x:c r="G43" s="13" t="str">
        <x:v>May 13, 2026</x:v>
      </x:c>
      <x:c r="H43" s="13" t="str">
        <x:v>-</x:v>
      </x:c>
      <x:c r="I43" s="13" t="str">
        <x:v>Synthetic example: one party is a government office/official acting in official capacity; mark non-KP.</x:v>
      </x:c>
      <x:c r="J43" s="13" t="str">
        <x:v>Refer</x:v>
      </x:c>
      <x:c r="K43" s="13" t="str">
        <x:v>NON_KP_REFERRAL</x:v>
      </x:c>
      <x:c r="L43" s="13" t="str">
        <x:v>Not KP; government party disqualification</x:v>
      </x:c>
      <x:c r="M43" s="13" t="str">
        <x:v>Refer/route to proper government grievance, administrative, or legal office</x:v>
      </x:c>
      <x:c r="N43" s="13" t="str">
        <x:v>KP does not apply when a government office/entity is a party.</x:v>
      </x:c>
      <x:c r="O43" s="13" t="str"/>
      <x:c r="P43" s="13" t="str">
        <x:v>Usapin kung saan ang respondent ay municipal government unit</x:v>
      </x:c>
      <x:c r="Q43" s="13" t="str">
        <x:v>Added to balance 'government-party' to 49 examples using the same Justice KP label schema.</x:v>
      </x:c>
      <x:c r="R43" s="13" t="str">
        <x:v>Synthetic row based on category coverage gap from uploaded PDF</x:v>
      </x:c>
    </x:row>
    <x:row r="44" ht="36" customHeight="1">
      <x:c r="A44" s="13" t="str">
        <x:v>SYN-GOV-043</x:v>
      </x:c>
      <x:c r="B44" s="13" t="str">
        <x:v>government-party</x:v>
      </x:c>
      <x:c r="C44" s="13" t="str">
        <x:v>Synthetic</x:v>
      </x:c>
      <x:c r="D44" s="13" t="str"/>
      <x:c r="E44" s="13" t="str">
        <x:v>Disqualified</x:v>
      </x:c>
      <x:c r="F44" s="13" t="str">
        <x:v>Reklamo laban sa barangay official kaugnay ng official duty</x:v>
      </x:c>
      <x:c r="G44" s="13" t="str">
        <x:v>May 16, 2026</x:v>
      </x:c>
      <x:c r="H44" s="13" t="str">
        <x:v>-</x:v>
      </x:c>
      <x:c r="I44" s="13" t="str">
        <x:v>Synthetic example: one party is a government office/official acting in official capacity; mark non-KP.</x:v>
      </x:c>
      <x:c r="J44" s="13" t="str">
        <x:v>Refer</x:v>
      </x:c>
      <x:c r="K44" s="13" t="str">
        <x:v>NON_KP_REFERRAL</x:v>
      </x:c>
      <x:c r="L44" s="13" t="str">
        <x:v>Not KP; government party disqualification</x:v>
      </x:c>
      <x:c r="M44" s="13" t="str">
        <x:v>Refer/route to proper government grievance, administrative, or legal office</x:v>
      </x:c>
      <x:c r="N44" s="13" t="str">
        <x:v>KP does not apply when a government office/entity is a party.</x:v>
      </x:c>
      <x:c r="O44" s="13" t="str"/>
      <x:c r="P44" s="13" t="str">
        <x:v>Reklamo laban sa barangay official kaugnay ng official duty</x:v>
      </x:c>
      <x:c r="Q44" s="13" t="str">
        <x:v>Added to balance 'government-party' to 49 examples using the same Justice KP label schema.</x:v>
      </x:c>
      <x:c r="R44" s="13" t="str">
        <x:v>Synthetic row based on category coverage gap from uploaded PDF</x:v>
      </x:c>
    </x:row>
    <x:row r="45" ht="36" customHeight="1">
      <x:c r="A45" s="13" t="str">
        <x:v>SYN-GOV-044</x:v>
      </x:c>
      <x:c r="B45" s="13" t="str">
        <x:v>government-party</x:v>
      </x:c>
      <x:c r="C45" s="13" t="str">
        <x:v>Synthetic</x:v>
      </x:c>
      <x:c r="D45" s="13" t="str"/>
      <x:c r="E45" s="13" t="str">
        <x:v>Disqualified</x:v>
      </x:c>
      <x:c r="F45" s="13" t="str">
        <x:v>Dispute laban sa public school office bilang party</x:v>
      </x:c>
      <x:c r="G45" s="13" t="str">
        <x:v>May 19, 2026</x:v>
      </x:c>
      <x:c r="H45" s="13" t="str">
        <x:v>-</x:v>
      </x:c>
      <x:c r="I45" s="13" t="str">
        <x:v>Synthetic example: one party is a government office/official acting in official capacity; mark non-KP.</x:v>
      </x:c>
      <x:c r="J45" s="13" t="str">
        <x:v>Refer</x:v>
      </x:c>
      <x:c r="K45" s="13" t="str">
        <x:v>NON_KP_REFERRAL</x:v>
      </x:c>
      <x:c r="L45" s="13" t="str">
        <x:v>Not KP; government party disqualification</x:v>
      </x:c>
      <x:c r="M45" s="13" t="str">
        <x:v>Refer/route to proper government grievance, administrative, or legal office</x:v>
      </x:c>
      <x:c r="N45" s="13" t="str">
        <x:v>KP does not apply when a government office/entity is a party.</x:v>
      </x:c>
      <x:c r="O45" s="13" t="str"/>
      <x:c r="P45" s="13" t="str">
        <x:v>Dispute laban sa public school office bilang party</x:v>
      </x:c>
      <x:c r="Q45" s="13" t="str">
        <x:v>Added to balance 'government-party' to 49 examples using the same Justice KP label schema.</x:v>
      </x:c>
      <x:c r="R45" s="13" t="str">
        <x:v>Synthetic row based on category coverage gap from uploaded PDF</x:v>
      </x:c>
    </x:row>
    <x:row r="46" ht="36" customHeight="1">
      <x:c r="A46" s="13" t="str">
        <x:v>SYN-GOV-045</x:v>
      </x:c>
      <x:c r="B46" s="13" t="str">
        <x:v>government-party</x:v>
      </x:c>
      <x:c r="C46" s="13" t="str">
        <x:v>Synthetic</x:v>
      </x:c>
      <x:c r="D46" s="13" t="str"/>
      <x:c r="E46" s="13" t="str">
        <x:v>Disqualified</x:v>
      </x:c>
      <x:c r="F46" s="13" t="str">
        <x:v>Reklamo sa water district na government-controlled utility</x:v>
      </x:c>
      <x:c r="G46" s="13" t="str">
        <x:v>May 22, 2026</x:v>
      </x:c>
      <x:c r="H46" s="13" t="str">
        <x:v>-</x:v>
      </x:c>
      <x:c r="I46" s="13" t="str">
        <x:v>Synthetic example: one party is a government office/official acting in official capacity; mark non-KP.</x:v>
      </x:c>
      <x:c r="J46" s="13" t="str">
        <x:v>Refer</x:v>
      </x:c>
      <x:c r="K46" s="13" t="str">
        <x:v>NON_KP_REFERRAL</x:v>
      </x:c>
      <x:c r="L46" s="13" t="str">
        <x:v>Not KP; government party disqualification</x:v>
      </x:c>
      <x:c r="M46" s="13" t="str">
        <x:v>Refer/route to proper government grievance, administrative, or legal office</x:v>
      </x:c>
      <x:c r="N46" s="13" t="str">
        <x:v>KP does not apply when a government office/entity is a party.</x:v>
      </x:c>
      <x:c r="O46" s="13" t="str"/>
      <x:c r="P46" s="13" t="str">
        <x:v>Reklamo sa water district na government-controlled utility</x:v>
      </x:c>
      <x:c r="Q46" s="13" t="str">
        <x:v>Added to balance 'government-party' to 49 examples using the same Justice KP label schema.</x:v>
      </x:c>
      <x:c r="R46" s="13" t="str">
        <x:v>Synthetic row based on category coverage gap from uploaded PDF</x:v>
      </x:c>
    </x:row>
    <x:row r="47" ht="36" customHeight="1">
      <x:c r="A47" s="13" t="str">
        <x:v>SYN-GOV-046</x:v>
      </x:c>
      <x:c r="B47" s="13" t="str">
        <x:v>government-party</x:v>
      </x:c>
      <x:c r="C47" s="13" t="str">
        <x:v>Synthetic</x:v>
      </x:c>
      <x:c r="D47" s="13" t="str"/>
      <x:c r="E47" s="13" t="str">
        <x:v>Disqualified</x:v>
      </x:c>
      <x:c r="F47" s="13" t="str">
        <x:v>Reklamo laban sa police officer kaugnay ng opisyal na tungkulin</x:v>
      </x:c>
      <x:c r="G47" s="13" t="str">
        <x:v>May 25, 2026</x:v>
      </x:c>
      <x:c r="H47" s="13" t="str">
        <x:v>-</x:v>
      </x:c>
      <x:c r="I47" s="13" t="str">
        <x:v>Synthetic example: one party is a government office/official acting in official capacity; mark non-KP.</x:v>
      </x:c>
      <x:c r="J47" s="13" t="str">
        <x:v>Refer</x:v>
      </x:c>
      <x:c r="K47" s="13" t="str">
        <x:v>NON_KP_REFERRAL</x:v>
      </x:c>
      <x:c r="L47" s="13" t="str">
        <x:v>Not KP; government party disqualification</x:v>
      </x:c>
      <x:c r="M47" s="13" t="str">
        <x:v>Refer/route to proper government grievance, administrative, or legal office</x:v>
      </x:c>
      <x:c r="N47" s="13" t="str">
        <x:v>KP does not apply when a government office/entity is a party.</x:v>
      </x:c>
      <x:c r="O47" s="13" t="str"/>
      <x:c r="P47" s="13" t="str">
        <x:v>Reklamo laban sa police officer kaugnay ng opisyal na tungkulin</x:v>
      </x:c>
      <x:c r="Q47" s="13" t="str">
        <x:v>Added to balance 'government-party' to 49 examples using the same Justice KP label schema.</x:v>
      </x:c>
      <x:c r="R47" s="13" t="str">
        <x:v>Synthetic row based on category coverage gap from uploaded PDF</x:v>
      </x:c>
    </x:row>
    <x:row r="48" ht="36" customHeight="1">
      <x:c r="A48" s="13" t="str">
        <x:v>SYN-GOV-047</x:v>
      </x:c>
      <x:c r="B48" s="13" t="str">
        <x:v>government-party</x:v>
      </x:c>
      <x:c r="C48" s="13" t="str">
        <x:v>Synthetic</x:v>
      </x:c>
      <x:c r="D48" s="13" t="str"/>
      <x:c r="E48" s="13" t="str">
        <x:v>Disqualified</x:v>
      </x:c>
      <x:c r="F48" s="13" t="str">
        <x:v>Usapin sa provincial office bilang respondent</x:v>
      </x:c>
      <x:c r="G48" s="13" t="str">
        <x:v>May 28, 2026</x:v>
      </x:c>
      <x:c r="H48" s="13" t="str">
        <x:v>-</x:v>
      </x:c>
      <x:c r="I48" s="13" t="str">
        <x:v>Synthetic example: one party is a government office/official acting in official capacity; mark non-KP.</x:v>
      </x:c>
      <x:c r="J48" s="13" t="str">
        <x:v>Refer</x:v>
      </x:c>
      <x:c r="K48" s="13" t="str">
        <x:v>NON_KP_REFERRAL</x:v>
      </x:c>
      <x:c r="L48" s="13" t="str">
        <x:v>Not KP; government party disqualification</x:v>
      </x:c>
      <x:c r="M48" s="13" t="str">
        <x:v>Refer/route to proper government grievance, administrative, or legal office</x:v>
      </x:c>
      <x:c r="N48" s="13" t="str">
        <x:v>KP does not apply when a government office/entity is a party.</x:v>
      </x:c>
      <x:c r="O48" s="13" t="str"/>
      <x:c r="P48" s="13" t="str">
        <x:v>Usapin sa provincial office bilang respondent</x:v>
      </x:c>
      <x:c r="Q48" s="13" t="str">
        <x:v>Added to balance 'government-party' to 49 examples using the same Justice KP label schema.</x:v>
      </x:c>
      <x:c r="R48" s="13" t="str">
        <x:v>Synthetic row based on category coverage gap from uploaded PDF</x:v>
      </x:c>
    </x:row>
    <x:row r="49" ht="36" customHeight="1">
      <x:c r="A49" s="13" t="str">
        <x:v>SYN-GOV-048</x:v>
      </x:c>
      <x:c r="B49" s="13" t="str">
        <x:v>government-party</x:v>
      </x:c>
      <x:c r="C49" s="13" t="str">
        <x:v>Synthetic</x:v>
      </x:c>
      <x:c r="D49" s="13" t="str"/>
      <x:c r="E49" s="13" t="str">
        <x:v>Disqualified</x:v>
      </x:c>
      <x:c r="F49" s="13" t="str">
        <x:v>Reklamo laban sa government hospital billing office</x:v>
      </x:c>
      <x:c r="G49" s="13" t="str">
        <x:v>May 31, 2026</x:v>
      </x:c>
      <x:c r="H49" s="13" t="str">
        <x:v>-</x:v>
      </x:c>
      <x:c r="I49" s="13" t="str">
        <x:v>Synthetic example: one party is a government office/official acting in official capacity; mark non-KP.</x:v>
      </x:c>
      <x:c r="J49" s="13" t="str">
        <x:v>Refer</x:v>
      </x:c>
      <x:c r="K49" s="13" t="str">
        <x:v>NON_KP_REFERRAL</x:v>
      </x:c>
      <x:c r="L49" s="13" t="str">
        <x:v>Not KP; government party disqualification</x:v>
      </x:c>
      <x:c r="M49" s="13" t="str">
        <x:v>Refer/route to proper government grievance, administrative, or legal office</x:v>
      </x:c>
      <x:c r="N49" s="13" t="str">
        <x:v>KP does not apply when a government office/entity is a party.</x:v>
      </x:c>
      <x:c r="O49" s="13" t="str"/>
      <x:c r="P49" s="13" t="str">
        <x:v>Reklamo laban sa government hospital billing office</x:v>
      </x:c>
      <x:c r="Q49" s="13" t="str">
        <x:v>Added to balance 'government-party' to 49 examples using the same Justice KP label schema.</x:v>
      </x:c>
      <x:c r="R49" s="13" t="str">
        <x:v>Synthetic row based on category coverage gap from uploaded PDF</x:v>
      </x:c>
    </x:row>
    <x:row r="50" ht="36" customHeight="1">
      <x:c r="A50" s="13" t="str">
        <x:v>SYN-GOV-049</x:v>
      </x:c>
      <x:c r="B50" s="13" t="str">
        <x:v>government-party</x:v>
      </x:c>
      <x:c r="C50" s="13" t="str">
        <x:v>Synthetic</x:v>
      </x:c>
      <x:c r="D50" s="13" t="str"/>
      <x:c r="E50" s="13" t="str">
        <x:v>Disqualified</x:v>
      </x:c>
      <x:c r="F50" s="13" t="str">
        <x:v>Dispute sa road-clearing action ng municipal office</x:v>
      </x:c>
      <x:c r="G50" s="13" t="str">
        <x:v>June 3, 2026</x:v>
      </x:c>
      <x:c r="H50" s="13" t="str">
        <x:v>-</x:v>
      </x:c>
      <x:c r="I50" s="13" t="str">
        <x:v>Synthetic example: one party is a government office/official acting in official capacity; mark non-KP.</x:v>
      </x:c>
      <x:c r="J50" s="13" t="str">
        <x:v>Refer</x:v>
      </x:c>
      <x:c r="K50" s="13" t="str">
        <x:v>NON_KP_REFERRAL</x:v>
      </x:c>
      <x:c r="L50" s="13" t="str">
        <x:v>Not KP; government party disqualification</x:v>
      </x:c>
      <x:c r="M50" s="13" t="str">
        <x:v>Refer/route to proper government grievance, administrative, or legal office</x:v>
      </x:c>
      <x:c r="N50" s="13" t="str">
        <x:v>KP does not apply when a government office/entity is a party.</x:v>
      </x:c>
      <x:c r="O50" s="13" t="str"/>
      <x:c r="P50" s="13" t="str">
        <x:v>Dispute sa road-clearing action ng municipal office</x:v>
      </x:c>
      <x:c r="Q50" s="13" t="str">
        <x:v>Added to balance 'government-party' to 49 examples using the same Justice KP label schema.</x:v>
      </x:c>
      <x:c r="R50" s="13" t="str">
        <x:v>Synthetic row based on category coverage gap from uploaded PDF</x:v>
      </x:c>
    </x:row>
  </x:sheetData>
  <x:pageMargins left="0.7" right="0.7" top="0.75" bottom="0.75" header="0.3" footer="0.3"/>
  <x:tableParts count="1">
    <x:tablePart xmlns:r="http://schemas.openxmlformats.org/officeDocument/2006/relationships" r:id="R6a954fc8b56e4316"/>
  </x:tableParts>
</x:worksheet>
</file>

<file path=xl/worksheets/sheet13.xml><?xml version="1.0" encoding="utf-8"?>
<x:worksheet xmlns:x="http://schemas.openxmlformats.org/spreadsheetml/2006/main">
  <x:sheetFormatPr defaultRowHeight="15"/>
  <x:cols>
    <x:col min="1" max="1" width="18" hidden="0" customWidth="1"/>
    <x:col min="2" max="2" width="22" hidden="0" customWidth="1"/>
    <x:col min="3" max="3" width="13" hidden="0" customWidth="1"/>
    <x:col min="4" max="4" width="18" hidden="0" customWidth="1"/>
    <x:col min="5" max="5" width="18" hidden="0" customWidth="1"/>
    <x:col min="6" max="6" width="38" hidden="0" customWidth="1"/>
    <x:col min="7" max="7" width="17" hidden="0" customWidth="1"/>
    <x:col min="9" max="9" width="55" hidden="0" customWidth="1"/>
    <x:col min="11" max="11" width="24" hidden="0" customWidth="1"/>
    <x:col min="12" max="12" width="32" hidden="0" customWidth="1"/>
    <x:col min="13" max="13" width="42" hidden="0" customWidth="1"/>
    <x:col min="14" max="14" width="50" hidden="0" customWidth="1"/>
    <x:col min="17" max="17" width="50" hidden="0" customWidth="1"/>
    <x:col min="18" max="18" width="35" hidden="0" customWidth="1"/>
  </x:cols>
  <x:sheetData>
    <x:row r="1" ht="42" customHeight="1">
      <x:c r="A1" s="6" t="str">
        <x:v>case_id</x:v>
      </x:c>
      <x:c r="B1" s="6" t="str">
        <x:v>case_type</x:v>
      </x:c>
      <x:c r="C1" s="6" t="str">
        <x:v>source_type</x:v>
      </x:c>
      <x:c r="D1" s="6" t="str">
        <x:v>source_pdf_case_id</x:v>
      </x:c>
      <x:c r="E1" s="6" t="str">
        <x:v>original_dispute_category</x:v>
      </x:c>
      <x:c r="F1" s="6" t="str">
        <x:v>original_nature</x:v>
      </x:c>
      <x:c r="G1" s="6" t="str">
        <x:v>date_filed</x:v>
      </x:c>
      <x:c r="H1" s="6" t="str">
        <x:v>date_of_settlement_or_award</x:v>
      </x:c>
      <x:c r="I1" s="6" t="str">
        <x:v>conversation_status</x:v>
      </x:c>
      <x:c r="J1" s="6" t="str">
        <x:v>action_taken</x:v>
      </x:c>
      <x:c r="K1" s="6" t="str">
        <x:v>justice_kp_label</x:v>
      </x:c>
      <x:c r="L1" s="6" t="str">
        <x:v>kp_eligibility</x:v>
      </x:c>
      <x:c r="M1" s="6" t="str">
        <x:v>recommended_system_action</x:v>
      </x:c>
      <x:c r="N1" s="6" t="str">
        <x:v>label_reason</x:v>
      </x:c>
      <x:c r="O1" s="6" t="str">
        <x:v>amount_or_penalty_reference</x:v>
      </x:c>
      <x:c r="P1" s="6" t="str">
        <x:v>evidence_of_type</x:v>
      </x:c>
      <x:c r="Q1" s="6" t="str">
        <x:v>synthetic_generation_note</x:v>
      </x:c>
      <x:c r="R1" s="6" t="str">
        <x:v>source_file</x:v>
      </x:c>
    </x:row>
    <x:row r="2" ht="36" customHeight="1">
      <x:c r="A2" s="13" t="str">
        <x:v>SYN-COURT-001</x:v>
      </x:c>
      <x:c r="B2" s="13" t="str">
        <x:v>already-filed-in-court</x:v>
      </x:c>
      <x:c r="C2" s="13" t="str">
        <x:v>Synthetic</x:v>
      </x:c>
      <x:c r="D2" s="13" t="str"/>
      <x:c r="E2" s="13" t="str">
        <x:v>Disqualified</x:v>
      </x:c>
      <x:c r="F2" s="13" t="str">
        <x:v>Utang na may pending small claims case sa korte</x:v>
      </x:c>
      <x:c r="G2" s="13" t="str">
        <x:v>January 11, 2026</x:v>
      </x:c>
      <x:c r="H2" s="13" t="str">
        <x:v>-</x:v>
      </x:c>
      <x:c r="I2" s="13" t="str">
        <x:v>Synthetic example: complaint indicates an existing court/prosecutor filing; barangay should not mediate as new KP case.</x:v>
      </x:c>
      <x:c r="J2" s="13" t="str">
        <x:v>Refer</x:v>
      </x:c>
      <x:c r="K2" s="13" t="str">
        <x:v>NON_KP_REFERRAL</x:v>
      </x:c>
      <x:c r="L2" s="13" t="str">
        <x:v>Not KP; already filed in court/prosecutor</x:v>
      </x:c>
      <x:c r="M2" s="13" t="str">
        <x:v>Do not docket as new KP mediation; note existing case and refer to court/prosecutor process</x:v>
      </x:c>
      <x:c r="N2" s="13" t="str">
        <x:v>Matter already filed in court/prosecutor is outside barangay conciliation.</x:v>
      </x:c>
      <x:c r="O2" s="13" t="str"/>
      <x:c r="P2" s="13" t="str">
        <x:v>Utang na may pending small claims case sa korte</x:v>
      </x:c>
      <x:c r="Q2" s="13" t="str">
        <x:v>Added to balance 'already-filed-in-court' to 49 examples using the same Justice KP label schema.</x:v>
      </x:c>
      <x:c r="R2" s="13" t="str">
        <x:v>Synthetic row based on category coverage gap from uploaded PDF</x:v>
      </x:c>
    </x:row>
    <x:row r="3" ht="36" customHeight="1">
      <x:c r="A3" s="13" t="str">
        <x:v>SYN-COURT-002</x:v>
      </x:c>
      <x:c r="B3" s="13" t="str">
        <x:v>already-filed-in-court</x:v>
      </x:c>
      <x:c r="C3" s="13" t="str">
        <x:v>Synthetic</x:v>
      </x:c>
      <x:c r="D3" s="13" t="str"/>
      <x:c r="E3" s="13" t="str">
        <x:v>Disqualified</x:v>
      </x:c>
      <x:c r="F3" s="13" t="str">
        <x:v>Alitan sa lupa na naihain na sa RTC</x:v>
      </x:c>
      <x:c r="G3" s="13" t="str">
        <x:v>January 14, 2026</x:v>
      </x:c>
      <x:c r="H3" s="13" t="str">
        <x:v>-</x:v>
      </x:c>
      <x:c r="I3" s="13" t="str">
        <x:v>Synthetic example: complaint indicates an existing court/prosecutor filing; barangay should not mediate as new KP case.</x:v>
      </x:c>
      <x:c r="J3" s="13" t="str">
        <x:v>Refer</x:v>
      </x:c>
      <x:c r="K3" s="13" t="str">
        <x:v>NON_KP_REFERRAL</x:v>
      </x:c>
      <x:c r="L3" s="13" t="str">
        <x:v>Not KP; already filed in court/prosecutor</x:v>
      </x:c>
      <x:c r="M3" s="13" t="str">
        <x:v>Do not docket as new KP mediation; note existing case and refer to court/prosecutor process</x:v>
      </x:c>
      <x:c r="N3" s="13" t="str">
        <x:v>Matter already filed in court/prosecutor is outside barangay conciliation.</x:v>
      </x:c>
      <x:c r="O3" s="13" t="str"/>
      <x:c r="P3" s="13" t="str">
        <x:v>Alitan sa lupa na naihain na sa RTC</x:v>
      </x:c>
      <x:c r="Q3" s="13" t="str">
        <x:v>Added to balance 'already-filed-in-court' to 49 examples using the same Justice KP label schema.</x:v>
      </x:c>
      <x:c r="R3" s="13" t="str">
        <x:v>Synthetic row based on category coverage gap from uploaded PDF</x:v>
      </x:c>
    </x:row>
    <x:row r="4" ht="36" customHeight="1">
      <x:c r="A4" s="13" t="str">
        <x:v>SYN-COURT-003</x:v>
      </x:c>
      <x:c r="B4" s="13" t="str">
        <x:v>already-filed-in-court</x:v>
      </x:c>
      <x:c r="C4" s="13" t="str">
        <x:v>Synthetic</x:v>
      </x:c>
      <x:c r="D4" s="13" t="str"/>
      <x:c r="E4" s="13" t="str">
        <x:v>Disqualified</x:v>
      </x:c>
      <x:c r="F4" s="13" t="str">
        <x:v>Pananakit na may criminal complaint na sa prosecutor</x:v>
      </x:c>
      <x:c r="G4" s="13" t="str">
        <x:v>January 17, 2026</x:v>
      </x:c>
      <x:c r="H4" s="13" t="str">
        <x:v>-</x:v>
      </x:c>
      <x:c r="I4" s="13" t="str">
        <x:v>Synthetic example: complaint indicates an existing court/prosecutor filing; barangay should not mediate as new KP case.</x:v>
      </x:c>
      <x:c r="J4" s="13" t="str">
        <x:v>Refer</x:v>
      </x:c>
      <x:c r="K4" s="13" t="str">
        <x:v>NON_KP_REFERRAL</x:v>
      </x:c>
      <x:c r="L4" s="13" t="str">
        <x:v>Not KP; already filed in court/prosecutor</x:v>
      </x:c>
      <x:c r="M4" s="13" t="str">
        <x:v>Do not docket as new KP mediation; note existing case and refer to court/prosecutor process</x:v>
      </x:c>
      <x:c r="N4" s="13" t="str">
        <x:v>Matter already filed in court/prosecutor is outside barangay conciliation.</x:v>
      </x:c>
      <x:c r="O4" s="13" t="str"/>
      <x:c r="P4" s="13" t="str">
        <x:v>Pananakit na may criminal complaint na sa prosecutor</x:v>
      </x:c>
      <x:c r="Q4" s="13" t="str">
        <x:v>Added to balance 'already-filed-in-court' to 49 examples using the same Justice KP label schema.</x:v>
      </x:c>
      <x:c r="R4" s="13" t="str">
        <x:v>Synthetic row based on category coverage gap from uploaded PDF</x:v>
      </x:c>
    </x:row>
    <x:row r="5" ht="36" customHeight="1">
      <x:c r="A5" s="13" t="str">
        <x:v>SYN-COURT-004</x:v>
      </x:c>
      <x:c r="B5" s="13" t="str">
        <x:v>already-filed-in-court</x:v>
      </x:c>
      <x:c r="C5" s="13" t="str">
        <x:v>Synthetic</x:v>
      </x:c>
      <x:c r="D5" s="13" t="str"/>
      <x:c r="E5" s="13" t="str">
        <x:v>Disqualified</x:v>
      </x:c>
      <x:c r="F5" s="13" t="str">
        <x:v>Boundary dispute na may nakabinbing civil case</x:v>
      </x:c>
      <x:c r="G5" s="13" t="str">
        <x:v>January 20, 2026</x:v>
      </x:c>
      <x:c r="H5" s="13" t="str">
        <x:v>-</x:v>
      </x:c>
      <x:c r="I5" s="13" t="str">
        <x:v>Synthetic example: complaint indicates an existing court/prosecutor filing; barangay should not mediate as new KP case.</x:v>
      </x:c>
      <x:c r="J5" s="13" t="str">
        <x:v>Refer</x:v>
      </x:c>
      <x:c r="K5" s="13" t="str">
        <x:v>NON_KP_REFERRAL</x:v>
      </x:c>
      <x:c r="L5" s="13" t="str">
        <x:v>Not KP; already filed in court/prosecutor</x:v>
      </x:c>
      <x:c r="M5" s="13" t="str">
        <x:v>Do not docket as new KP mediation; note existing case and refer to court/prosecutor process</x:v>
      </x:c>
      <x:c r="N5" s="13" t="str">
        <x:v>Matter already filed in court/prosecutor is outside barangay conciliation.</x:v>
      </x:c>
      <x:c r="O5" s="13" t="str"/>
      <x:c r="P5" s="13" t="str">
        <x:v>Boundary dispute na may nakabinbing civil case</x:v>
      </x:c>
      <x:c r="Q5" s="13" t="str">
        <x:v>Added to balance 'already-filed-in-court' to 49 examples using the same Justice KP label schema.</x:v>
      </x:c>
      <x:c r="R5" s="13" t="str">
        <x:v>Synthetic row based on category coverage gap from uploaded PDF</x:v>
      </x:c>
    </x:row>
    <x:row r="6" ht="36" customHeight="1">
      <x:c r="A6" s="13" t="str">
        <x:v>SYN-COURT-005</x:v>
      </x:c>
      <x:c r="B6" s="13" t="str">
        <x:v>already-filed-in-court</x:v>
      </x:c>
      <x:c r="C6" s="13" t="str">
        <x:v>Synthetic</x:v>
      </x:c>
      <x:c r="D6" s="13" t="str"/>
      <x:c r="E6" s="13" t="str">
        <x:v>Disqualified</x:v>
      </x:c>
      <x:c r="F6" s="13" t="str">
        <x:v>Threat complaint na may docket number na sa korte</x:v>
      </x:c>
      <x:c r="G6" s="13" t="str">
        <x:v>January 23, 2026</x:v>
      </x:c>
      <x:c r="H6" s="13" t="str">
        <x:v>-</x:v>
      </x:c>
      <x:c r="I6" s="13" t="str">
        <x:v>Synthetic example: complaint indicates an existing court/prosecutor filing; barangay should not mediate as new KP case.</x:v>
      </x:c>
      <x:c r="J6" s="13" t="str">
        <x:v>Refer</x:v>
      </x:c>
      <x:c r="K6" s="13" t="str">
        <x:v>NON_KP_REFERRAL</x:v>
      </x:c>
      <x:c r="L6" s="13" t="str">
        <x:v>Not KP; already filed in court/prosecutor</x:v>
      </x:c>
      <x:c r="M6" s="13" t="str">
        <x:v>Do not docket as new KP mediation; note existing case and refer to court/prosecutor process</x:v>
      </x:c>
      <x:c r="N6" s="13" t="str">
        <x:v>Matter already filed in court/prosecutor is outside barangay conciliation.</x:v>
      </x:c>
      <x:c r="O6" s="13" t="str"/>
      <x:c r="P6" s="13" t="str">
        <x:v>Threat complaint na may docket number na sa korte</x:v>
      </x:c>
      <x:c r="Q6" s="13" t="str">
        <x:v>Added to balance 'already-filed-in-court' to 49 examples using the same Justice KP label schema.</x:v>
      </x:c>
      <x:c r="R6" s="13" t="str">
        <x:v>Synthetic row based on category coverage gap from uploaded PDF</x:v>
      </x:c>
    </x:row>
    <x:row r="7" ht="36" customHeight="1">
      <x:c r="A7" s="13" t="str">
        <x:v>SYN-COURT-006</x:v>
      </x:c>
      <x:c r="B7" s="13" t="str">
        <x:v>already-filed-in-court</x:v>
      </x:c>
      <x:c r="C7" s="13" t="str">
        <x:v>Synthetic</x:v>
      </x:c>
      <x:c r="D7" s="13" t="str"/>
      <x:c r="E7" s="13" t="str">
        <x:v>Disqualified</x:v>
      </x:c>
      <x:c r="F7" s="13" t="str">
        <x:v>Renta dispute na nasa small claims na</x:v>
      </x:c>
      <x:c r="G7" s="13" t="str">
        <x:v>January 26, 2026</x:v>
      </x:c>
      <x:c r="H7" s="13" t="str">
        <x:v>-</x:v>
      </x:c>
      <x:c r="I7" s="13" t="str">
        <x:v>Synthetic example: complaint indicates an existing court/prosecutor filing; barangay should not mediate as new KP case.</x:v>
      </x:c>
      <x:c r="J7" s="13" t="str">
        <x:v>Refer</x:v>
      </x:c>
      <x:c r="K7" s="13" t="str">
        <x:v>NON_KP_REFERRAL</x:v>
      </x:c>
      <x:c r="L7" s="13" t="str">
        <x:v>Not KP; already filed in court/prosecutor</x:v>
      </x:c>
      <x:c r="M7" s="13" t="str">
        <x:v>Do not docket as new KP mediation; note existing case and refer to court/prosecutor process</x:v>
      </x:c>
      <x:c r="N7" s="13" t="str">
        <x:v>Matter already filed in court/prosecutor is outside barangay conciliation.</x:v>
      </x:c>
      <x:c r="O7" s="13" t="str"/>
      <x:c r="P7" s="13" t="str">
        <x:v>Renta dispute na nasa small claims na</x:v>
      </x:c>
      <x:c r="Q7" s="13" t="str">
        <x:v>Added to balance 'already-filed-in-court' to 49 examples using the same Justice KP label schema.</x:v>
      </x:c>
      <x:c r="R7" s="13" t="str">
        <x:v>Synthetic row based on category coverage gap from uploaded PDF</x:v>
      </x:c>
    </x:row>
    <x:row r="8" ht="36" customHeight="1">
      <x:c r="A8" s="13" t="str">
        <x:v>SYN-COURT-007</x:v>
      </x:c>
      <x:c r="B8" s="13" t="str">
        <x:v>already-filed-in-court</x:v>
      </x:c>
      <x:c r="C8" s="13" t="str">
        <x:v>Synthetic</x:v>
      </x:c>
      <x:c r="D8" s="13" t="str"/>
      <x:c r="E8" s="13" t="str">
        <x:v>Disqualified</x:v>
      </x:c>
      <x:c r="F8" s="13" t="str">
        <x:v>Property dispute na may pending injunction case</x:v>
      </x:c>
      <x:c r="G8" s="13" t="str">
        <x:v>January 29, 2026</x:v>
      </x:c>
      <x:c r="H8" s="13" t="str">
        <x:v>-</x:v>
      </x:c>
      <x:c r="I8" s="13" t="str">
        <x:v>Synthetic example: complaint indicates an existing court/prosecutor filing; barangay should not mediate as new KP case.</x:v>
      </x:c>
      <x:c r="J8" s="13" t="str">
        <x:v>Refer</x:v>
      </x:c>
      <x:c r="K8" s="13" t="str">
        <x:v>NON_KP_REFERRAL</x:v>
      </x:c>
      <x:c r="L8" s="13" t="str">
        <x:v>Not KP; already filed in court/prosecutor</x:v>
      </x:c>
      <x:c r="M8" s="13" t="str">
        <x:v>Do not docket as new KP mediation; note existing case and refer to court/prosecutor process</x:v>
      </x:c>
      <x:c r="N8" s="13" t="str">
        <x:v>Matter already filed in court/prosecutor is outside barangay conciliation.</x:v>
      </x:c>
      <x:c r="O8" s="13" t="str"/>
      <x:c r="P8" s="13" t="str">
        <x:v>Property dispute na may pending injunction case</x:v>
      </x:c>
      <x:c r="Q8" s="13" t="str">
        <x:v>Added to balance 'already-filed-in-court' to 49 examples using the same Justice KP label schema.</x:v>
      </x:c>
      <x:c r="R8" s="13" t="str">
        <x:v>Synthetic row based on category coverage gap from uploaded PDF</x:v>
      </x:c>
    </x:row>
    <x:row r="9" ht="36" customHeight="1">
      <x:c r="A9" s="13" t="str">
        <x:v>SYN-COURT-008</x:v>
      </x:c>
      <x:c r="B9" s="13" t="str">
        <x:v>already-filed-in-court</x:v>
      </x:c>
      <x:c r="C9" s="13" t="str">
        <x:v>Synthetic</x:v>
      </x:c>
      <x:c r="D9" s="13" t="str"/>
      <x:c r="E9" s="13" t="str">
        <x:v>Disqualified</x:v>
      </x:c>
      <x:c r="F9" s="13" t="str">
        <x:v>Defamation complaint na na-file na sa prosecutor</x:v>
      </x:c>
      <x:c r="G9" s="13" t="str">
        <x:v>February 1, 2026</x:v>
      </x:c>
      <x:c r="H9" s="13" t="str">
        <x:v>-</x:v>
      </x:c>
      <x:c r="I9" s="13" t="str">
        <x:v>Synthetic example: complaint indicates an existing court/prosecutor filing; barangay should not mediate as new KP case.</x:v>
      </x:c>
      <x:c r="J9" s="13" t="str">
        <x:v>Refer</x:v>
      </x:c>
      <x:c r="K9" s="13" t="str">
        <x:v>NON_KP_REFERRAL</x:v>
      </x:c>
      <x:c r="L9" s="13" t="str">
        <x:v>Not KP; already filed in court/prosecutor</x:v>
      </x:c>
      <x:c r="M9" s="13" t="str">
        <x:v>Do not docket as new KP mediation; note existing case and refer to court/prosecutor process</x:v>
      </x:c>
      <x:c r="N9" s="13" t="str">
        <x:v>Matter already filed in court/prosecutor is outside barangay conciliation.</x:v>
      </x:c>
      <x:c r="O9" s="13" t="str"/>
      <x:c r="P9" s="13" t="str">
        <x:v>Defamation complaint na na-file na sa prosecutor</x:v>
      </x:c>
      <x:c r="Q9" s="13" t="str">
        <x:v>Added to balance 'already-filed-in-court' to 49 examples using the same Justice KP label schema.</x:v>
      </x:c>
      <x:c r="R9" s="13" t="str">
        <x:v>Synthetic row based on category coverage gap from uploaded PDF</x:v>
      </x:c>
    </x:row>
    <x:row r="10" ht="36" customHeight="1">
      <x:c r="A10" s="13" t="str">
        <x:v>SYN-COURT-009</x:v>
      </x:c>
      <x:c r="B10" s="13" t="str">
        <x:v>already-filed-in-court</x:v>
      </x:c>
      <x:c r="C10" s="13" t="str">
        <x:v>Synthetic</x:v>
      </x:c>
      <x:c r="D10" s="13" t="str"/>
      <x:c r="E10" s="13" t="str">
        <x:v>Disqualified</x:v>
      </x:c>
      <x:c r="F10" s="13" t="str">
        <x:v>Collection case na may scheduled court hearing</x:v>
      </x:c>
      <x:c r="G10" s="13" t="str">
        <x:v>February 4, 2026</x:v>
      </x:c>
      <x:c r="H10" s="13" t="str">
        <x:v>-</x:v>
      </x:c>
      <x:c r="I10" s="13" t="str">
        <x:v>Synthetic example: complaint indicates an existing court/prosecutor filing; barangay should not mediate as new KP case.</x:v>
      </x:c>
      <x:c r="J10" s="13" t="str">
        <x:v>Refer</x:v>
      </x:c>
      <x:c r="K10" s="13" t="str">
        <x:v>NON_KP_REFERRAL</x:v>
      </x:c>
      <x:c r="L10" s="13" t="str">
        <x:v>Not KP; already filed in court/prosecutor</x:v>
      </x:c>
      <x:c r="M10" s="13" t="str">
        <x:v>Do not docket as new KP mediation; note existing case and refer to court/prosecutor process</x:v>
      </x:c>
      <x:c r="N10" s="13" t="str">
        <x:v>Matter already filed in court/prosecutor is outside barangay conciliation.</x:v>
      </x:c>
      <x:c r="O10" s="13" t="str"/>
      <x:c r="P10" s="13" t="str">
        <x:v>Collection case na may scheduled court hearing</x:v>
      </x:c>
      <x:c r="Q10" s="13" t="str">
        <x:v>Added to balance 'already-filed-in-court' to 49 examples using the same Justice KP label schema.</x:v>
      </x:c>
      <x:c r="R10" s="13" t="str">
        <x:v>Synthetic row based on category coverage gap from uploaded PDF</x:v>
      </x:c>
    </x:row>
    <x:row r="11" ht="36" customHeight="1">
      <x:c r="A11" s="13" t="str">
        <x:v>SYN-COURT-010</x:v>
      </x:c>
      <x:c r="B11" s="13" t="str">
        <x:v>already-filed-in-court</x:v>
      </x:c>
      <x:c r="C11" s="13" t="str">
        <x:v>Synthetic</x:v>
      </x:c>
      <x:c r="D11" s="13" t="str"/>
      <x:c r="E11" s="13" t="str">
        <x:v>Disqualified</x:v>
      </x:c>
      <x:c r="F11" s="13" t="str">
        <x:v>Damage claim na may existing court summons</x:v>
      </x:c>
      <x:c r="G11" s="13" t="str">
        <x:v>February 7, 2026</x:v>
      </x:c>
      <x:c r="H11" s="13" t="str">
        <x:v>-</x:v>
      </x:c>
      <x:c r="I11" s="13" t="str">
        <x:v>Synthetic example: complaint indicates an existing court/prosecutor filing; barangay should not mediate as new KP case.</x:v>
      </x:c>
      <x:c r="J11" s="13" t="str">
        <x:v>Refer</x:v>
      </x:c>
      <x:c r="K11" s="13" t="str">
        <x:v>NON_KP_REFERRAL</x:v>
      </x:c>
      <x:c r="L11" s="13" t="str">
        <x:v>Not KP; already filed in court/prosecutor</x:v>
      </x:c>
      <x:c r="M11" s="13" t="str">
        <x:v>Do not docket as new KP mediation; note existing case and refer to court/prosecutor process</x:v>
      </x:c>
      <x:c r="N11" s="13" t="str">
        <x:v>Matter already filed in court/prosecutor is outside barangay conciliation.</x:v>
      </x:c>
      <x:c r="O11" s="13" t="str"/>
      <x:c r="P11" s="13" t="str">
        <x:v>Damage claim na may existing court summons</x:v>
      </x:c>
      <x:c r="Q11" s="13" t="str">
        <x:v>Added to balance 'already-filed-in-court' to 49 examples using the same Justice KP label schema.</x:v>
      </x:c>
      <x:c r="R11" s="13" t="str">
        <x:v>Synthetic row based on category coverage gap from uploaded PDF</x:v>
      </x:c>
    </x:row>
    <x:row r="12" ht="36" customHeight="1">
      <x:c r="A12" s="13" t="str">
        <x:v>SYN-COURT-011</x:v>
      </x:c>
      <x:c r="B12" s="13" t="str">
        <x:v>already-filed-in-court</x:v>
      </x:c>
      <x:c r="C12" s="13" t="str">
        <x:v>Synthetic</x:v>
      </x:c>
      <x:c r="D12" s="13" t="str"/>
      <x:c r="E12" s="13" t="str">
        <x:v>Disqualified</x:v>
      </x:c>
      <x:c r="F12" s="13" t="str">
        <x:v>Utang na may pending small claims case sa korte</x:v>
      </x:c>
      <x:c r="G12" s="13" t="str">
        <x:v>February 10, 2026</x:v>
      </x:c>
      <x:c r="H12" s="13" t="str">
        <x:v>-</x:v>
      </x:c>
      <x:c r="I12" s="13" t="str">
        <x:v>Synthetic example: complaint indicates an existing court/prosecutor filing; barangay should not mediate as new KP case.</x:v>
      </x:c>
      <x:c r="J12" s="13" t="str">
        <x:v>Refer</x:v>
      </x:c>
      <x:c r="K12" s="13" t="str">
        <x:v>NON_KP_REFERRAL</x:v>
      </x:c>
      <x:c r="L12" s="13" t="str">
        <x:v>Not KP; already filed in court/prosecutor</x:v>
      </x:c>
      <x:c r="M12" s="13" t="str">
        <x:v>Do not docket as new KP mediation; note existing case and refer to court/prosecutor process</x:v>
      </x:c>
      <x:c r="N12" s="13" t="str">
        <x:v>Matter already filed in court/prosecutor is outside barangay conciliation.</x:v>
      </x:c>
      <x:c r="O12" s="13" t="str"/>
      <x:c r="P12" s="13" t="str">
        <x:v>Utang na may pending small claims case sa korte</x:v>
      </x:c>
      <x:c r="Q12" s="13" t="str">
        <x:v>Added to balance 'already-filed-in-court' to 49 examples using the same Justice KP label schema.</x:v>
      </x:c>
      <x:c r="R12" s="13" t="str">
        <x:v>Synthetic row based on category coverage gap from uploaded PDF</x:v>
      </x:c>
    </x:row>
    <x:row r="13" ht="36" customHeight="1">
      <x:c r="A13" s="13" t="str">
        <x:v>SYN-COURT-012</x:v>
      </x:c>
      <x:c r="B13" s="13" t="str">
        <x:v>already-filed-in-court</x:v>
      </x:c>
      <x:c r="C13" s="13" t="str">
        <x:v>Synthetic</x:v>
      </x:c>
      <x:c r="D13" s="13" t="str"/>
      <x:c r="E13" s="13" t="str">
        <x:v>Disqualified</x:v>
      </x:c>
      <x:c r="F13" s="13" t="str">
        <x:v>Alitan sa lupa na naihain na sa RTC</x:v>
      </x:c>
      <x:c r="G13" s="13" t="str">
        <x:v>February 13, 2026</x:v>
      </x:c>
      <x:c r="H13" s="13" t="str">
        <x:v>-</x:v>
      </x:c>
      <x:c r="I13" s="13" t="str">
        <x:v>Synthetic example: complaint indicates an existing court/prosecutor filing; barangay should not mediate as new KP case.</x:v>
      </x:c>
      <x:c r="J13" s="13" t="str">
        <x:v>Refer</x:v>
      </x:c>
      <x:c r="K13" s="13" t="str">
        <x:v>NON_KP_REFERRAL</x:v>
      </x:c>
      <x:c r="L13" s="13" t="str">
        <x:v>Not KP; already filed in court/prosecutor</x:v>
      </x:c>
      <x:c r="M13" s="13" t="str">
        <x:v>Do not docket as new KP mediation; note existing case and refer to court/prosecutor process</x:v>
      </x:c>
      <x:c r="N13" s="13" t="str">
        <x:v>Matter already filed in court/prosecutor is outside barangay conciliation.</x:v>
      </x:c>
      <x:c r="O13" s="13" t="str"/>
      <x:c r="P13" s="13" t="str">
        <x:v>Alitan sa lupa na naihain na sa RTC</x:v>
      </x:c>
      <x:c r="Q13" s="13" t="str">
        <x:v>Added to balance 'already-filed-in-court' to 49 examples using the same Justice KP label schema.</x:v>
      </x:c>
      <x:c r="R13" s="13" t="str">
        <x:v>Synthetic row based on category coverage gap from uploaded PDF</x:v>
      </x:c>
    </x:row>
    <x:row r="14" ht="36" customHeight="1">
      <x:c r="A14" s="13" t="str">
        <x:v>SYN-COURT-013</x:v>
      </x:c>
      <x:c r="B14" s="13" t="str">
        <x:v>already-filed-in-court</x:v>
      </x:c>
      <x:c r="C14" s="13" t="str">
        <x:v>Synthetic</x:v>
      </x:c>
      <x:c r="D14" s="13" t="str"/>
      <x:c r="E14" s="13" t="str">
        <x:v>Disqualified</x:v>
      </x:c>
      <x:c r="F14" s="13" t="str">
        <x:v>Pananakit na may criminal complaint na sa prosecutor</x:v>
      </x:c>
      <x:c r="G14" s="13" t="str">
        <x:v>February 16, 2026</x:v>
      </x:c>
      <x:c r="H14" s="13" t="str">
        <x:v>-</x:v>
      </x:c>
      <x:c r="I14" s="13" t="str">
        <x:v>Synthetic example: complaint indicates an existing court/prosecutor filing; barangay should not mediate as new KP case.</x:v>
      </x:c>
      <x:c r="J14" s="13" t="str">
        <x:v>Refer</x:v>
      </x:c>
      <x:c r="K14" s="13" t="str">
        <x:v>NON_KP_REFERRAL</x:v>
      </x:c>
      <x:c r="L14" s="13" t="str">
        <x:v>Not KP; already filed in court/prosecutor</x:v>
      </x:c>
      <x:c r="M14" s="13" t="str">
        <x:v>Do not docket as new KP mediation; note existing case and refer to court/prosecutor process</x:v>
      </x:c>
      <x:c r="N14" s="13" t="str">
        <x:v>Matter already filed in court/prosecutor is outside barangay conciliation.</x:v>
      </x:c>
      <x:c r="O14" s="13" t="str"/>
      <x:c r="P14" s="13" t="str">
        <x:v>Pananakit na may criminal complaint na sa prosecutor</x:v>
      </x:c>
      <x:c r="Q14" s="13" t="str">
        <x:v>Added to balance 'already-filed-in-court' to 49 examples using the same Justice KP label schema.</x:v>
      </x:c>
      <x:c r="R14" s="13" t="str">
        <x:v>Synthetic row based on category coverage gap from uploaded PDF</x:v>
      </x:c>
    </x:row>
    <x:row r="15" ht="36" customHeight="1">
      <x:c r="A15" s="13" t="str">
        <x:v>SYN-COURT-014</x:v>
      </x:c>
      <x:c r="B15" s="13" t="str">
        <x:v>already-filed-in-court</x:v>
      </x:c>
      <x:c r="C15" s="13" t="str">
        <x:v>Synthetic</x:v>
      </x:c>
      <x:c r="D15" s="13" t="str"/>
      <x:c r="E15" s="13" t="str">
        <x:v>Disqualified</x:v>
      </x:c>
      <x:c r="F15" s="13" t="str">
        <x:v>Boundary dispute na may nakabinbing civil case</x:v>
      </x:c>
      <x:c r="G15" s="13" t="str">
        <x:v>February 19, 2026</x:v>
      </x:c>
      <x:c r="H15" s="13" t="str">
        <x:v>-</x:v>
      </x:c>
      <x:c r="I15" s="13" t="str">
        <x:v>Synthetic example: complaint indicates an existing court/prosecutor filing; barangay should not mediate as new KP case.</x:v>
      </x:c>
      <x:c r="J15" s="13" t="str">
        <x:v>Refer</x:v>
      </x:c>
      <x:c r="K15" s="13" t="str">
        <x:v>NON_KP_REFERRAL</x:v>
      </x:c>
      <x:c r="L15" s="13" t="str">
        <x:v>Not KP; already filed in court/prosecutor</x:v>
      </x:c>
      <x:c r="M15" s="13" t="str">
        <x:v>Do not docket as new KP mediation; note existing case and refer to court/prosecutor process</x:v>
      </x:c>
      <x:c r="N15" s="13" t="str">
        <x:v>Matter already filed in court/prosecutor is outside barangay conciliation.</x:v>
      </x:c>
      <x:c r="O15" s="13" t="str"/>
      <x:c r="P15" s="13" t="str">
        <x:v>Boundary dispute na may nakabinbing civil case</x:v>
      </x:c>
      <x:c r="Q15" s="13" t="str">
        <x:v>Added to balance 'already-filed-in-court' to 49 examples using the same Justice KP label schema.</x:v>
      </x:c>
      <x:c r="R15" s="13" t="str">
        <x:v>Synthetic row based on category coverage gap from uploaded PDF</x:v>
      </x:c>
    </x:row>
    <x:row r="16" ht="36" customHeight="1">
      <x:c r="A16" s="13" t="str">
        <x:v>SYN-COURT-015</x:v>
      </x:c>
      <x:c r="B16" s="13" t="str">
        <x:v>already-filed-in-court</x:v>
      </x:c>
      <x:c r="C16" s="13" t="str">
        <x:v>Synthetic</x:v>
      </x:c>
      <x:c r="D16" s="13" t="str"/>
      <x:c r="E16" s="13" t="str">
        <x:v>Disqualified</x:v>
      </x:c>
      <x:c r="F16" s="13" t="str">
        <x:v>Threat complaint na may docket number na sa korte</x:v>
      </x:c>
      <x:c r="G16" s="13" t="str">
        <x:v>February 22, 2026</x:v>
      </x:c>
      <x:c r="H16" s="13" t="str">
        <x:v>-</x:v>
      </x:c>
      <x:c r="I16" s="13" t="str">
        <x:v>Synthetic example: complaint indicates an existing court/prosecutor filing; barangay should not mediate as new KP case.</x:v>
      </x:c>
      <x:c r="J16" s="13" t="str">
        <x:v>Refer</x:v>
      </x:c>
      <x:c r="K16" s="13" t="str">
        <x:v>NON_KP_REFERRAL</x:v>
      </x:c>
      <x:c r="L16" s="13" t="str">
        <x:v>Not KP; already filed in court/prosecutor</x:v>
      </x:c>
      <x:c r="M16" s="13" t="str">
        <x:v>Do not docket as new KP mediation; note existing case and refer to court/prosecutor process</x:v>
      </x:c>
      <x:c r="N16" s="13" t="str">
        <x:v>Matter already filed in court/prosecutor is outside barangay conciliation.</x:v>
      </x:c>
      <x:c r="O16" s="13" t="str"/>
      <x:c r="P16" s="13" t="str">
        <x:v>Threat complaint na may docket number na sa korte</x:v>
      </x:c>
      <x:c r="Q16" s="13" t="str">
        <x:v>Added to balance 'already-filed-in-court' to 49 examples using the same Justice KP label schema.</x:v>
      </x:c>
      <x:c r="R16" s="13" t="str">
        <x:v>Synthetic row based on category coverage gap from uploaded PDF</x:v>
      </x:c>
    </x:row>
    <x:row r="17" ht="36" customHeight="1">
      <x:c r="A17" s="13" t="str">
        <x:v>SYN-COURT-016</x:v>
      </x:c>
      <x:c r="B17" s="13" t="str">
        <x:v>already-filed-in-court</x:v>
      </x:c>
      <x:c r="C17" s="13" t="str">
        <x:v>Synthetic</x:v>
      </x:c>
      <x:c r="D17" s="13" t="str"/>
      <x:c r="E17" s="13" t="str">
        <x:v>Disqualified</x:v>
      </x:c>
      <x:c r="F17" s="13" t="str">
        <x:v>Renta dispute na nasa small claims na</x:v>
      </x:c>
      <x:c r="G17" s="13" t="str">
        <x:v>February 25, 2026</x:v>
      </x:c>
      <x:c r="H17" s="13" t="str">
        <x:v>-</x:v>
      </x:c>
      <x:c r="I17" s="13" t="str">
        <x:v>Synthetic example: complaint indicates an existing court/prosecutor filing; barangay should not mediate as new KP case.</x:v>
      </x:c>
      <x:c r="J17" s="13" t="str">
        <x:v>Refer</x:v>
      </x:c>
      <x:c r="K17" s="13" t="str">
        <x:v>NON_KP_REFERRAL</x:v>
      </x:c>
      <x:c r="L17" s="13" t="str">
        <x:v>Not KP; already filed in court/prosecutor</x:v>
      </x:c>
      <x:c r="M17" s="13" t="str">
        <x:v>Do not docket as new KP mediation; note existing case and refer to court/prosecutor process</x:v>
      </x:c>
      <x:c r="N17" s="13" t="str">
        <x:v>Matter already filed in court/prosecutor is outside barangay conciliation.</x:v>
      </x:c>
      <x:c r="O17" s="13" t="str"/>
      <x:c r="P17" s="13" t="str">
        <x:v>Renta dispute na nasa small claims na</x:v>
      </x:c>
      <x:c r="Q17" s="13" t="str">
        <x:v>Added to balance 'already-filed-in-court' to 49 examples using the same Justice KP label schema.</x:v>
      </x:c>
      <x:c r="R17" s="13" t="str">
        <x:v>Synthetic row based on category coverage gap from uploaded PDF</x:v>
      </x:c>
    </x:row>
    <x:row r="18" ht="36" customHeight="1">
      <x:c r="A18" s="13" t="str">
        <x:v>SYN-COURT-017</x:v>
      </x:c>
      <x:c r="B18" s="13" t="str">
        <x:v>already-filed-in-court</x:v>
      </x:c>
      <x:c r="C18" s="13" t="str">
        <x:v>Synthetic</x:v>
      </x:c>
      <x:c r="D18" s="13" t="str"/>
      <x:c r="E18" s="13" t="str">
        <x:v>Disqualified</x:v>
      </x:c>
      <x:c r="F18" s="13" t="str">
        <x:v>Property dispute na may pending injunction case</x:v>
      </x:c>
      <x:c r="G18" s="13" t="str">
        <x:v>February 28, 2026</x:v>
      </x:c>
      <x:c r="H18" s="13" t="str">
        <x:v>-</x:v>
      </x:c>
      <x:c r="I18" s="13" t="str">
        <x:v>Synthetic example: complaint indicates an existing court/prosecutor filing; barangay should not mediate as new KP case.</x:v>
      </x:c>
      <x:c r="J18" s="13" t="str">
        <x:v>Refer</x:v>
      </x:c>
      <x:c r="K18" s="13" t="str">
        <x:v>NON_KP_REFERRAL</x:v>
      </x:c>
      <x:c r="L18" s="13" t="str">
        <x:v>Not KP; already filed in court/prosecutor</x:v>
      </x:c>
      <x:c r="M18" s="13" t="str">
        <x:v>Do not docket as new KP mediation; note existing case and refer to court/prosecutor process</x:v>
      </x:c>
      <x:c r="N18" s="13" t="str">
        <x:v>Matter already filed in court/prosecutor is outside barangay conciliation.</x:v>
      </x:c>
      <x:c r="O18" s="13" t="str"/>
      <x:c r="P18" s="13" t="str">
        <x:v>Property dispute na may pending injunction case</x:v>
      </x:c>
      <x:c r="Q18" s="13" t="str">
        <x:v>Added to balance 'already-filed-in-court' to 49 examples using the same Justice KP label schema.</x:v>
      </x:c>
      <x:c r="R18" s="13" t="str">
        <x:v>Synthetic row based on category coverage gap from uploaded PDF</x:v>
      </x:c>
    </x:row>
    <x:row r="19" ht="36" customHeight="1">
      <x:c r="A19" s="13" t="str">
        <x:v>SYN-COURT-018</x:v>
      </x:c>
      <x:c r="B19" s="13" t="str">
        <x:v>already-filed-in-court</x:v>
      </x:c>
      <x:c r="C19" s="13" t="str">
        <x:v>Synthetic</x:v>
      </x:c>
      <x:c r="D19" s="13" t="str"/>
      <x:c r="E19" s="13" t="str">
        <x:v>Disqualified</x:v>
      </x:c>
      <x:c r="F19" s="13" t="str">
        <x:v>Defamation complaint na na-file na sa prosecutor</x:v>
      </x:c>
      <x:c r="G19" s="13" t="str">
        <x:v>March 3, 2026</x:v>
      </x:c>
      <x:c r="H19" s="13" t="str">
        <x:v>-</x:v>
      </x:c>
      <x:c r="I19" s="13" t="str">
        <x:v>Synthetic example: complaint indicates an existing court/prosecutor filing; barangay should not mediate as new KP case.</x:v>
      </x:c>
      <x:c r="J19" s="13" t="str">
        <x:v>Refer</x:v>
      </x:c>
      <x:c r="K19" s="13" t="str">
        <x:v>NON_KP_REFERRAL</x:v>
      </x:c>
      <x:c r="L19" s="13" t="str">
        <x:v>Not KP; already filed in court/prosecutor</x:v>
      </x:c>
      <x:c r="M19" s="13" t="str">
        <x:v>Do not docket as new KP mediation; note existing case and refer to court/prosecutor process</x:v>
      </x:c>
      <x:c r="N19" s="13" t="str">
        <x:v>Matter already filed in court/prosecutor is outside barangay conciliation.</x:v>
      </x:c>
      <x:c r="O19" s="13" t="str"/>
      <x:c r="P19" s="13" t="str">
        <x:v>Defamation complaint na na-file na sa prosecutor</x:v>
      </x:c>
      <x:c r="Q19" s="13" t="str">
        <x:v>Added to balance 'already-filed-in-court' to 49 examples using the same Justice KP label schema.</x:v>
      </x:c>
      <x:c r="R19" s="13" t="str">
        <x:v>Synthetic row based on category coverage gap from uploaded PDF</x:v>
      </x:c>
    </x:row>
    <x:row r="20" ht="36" customHeight="1">
      <x:c r="A20" s="13" t="str">
        <x:v>SYN-COURT-019</x:v>
      </x:c>
      <x:c r="B20" s="13" t="str">
        <x:v>already-filed-in-court</x:v>
      </x:c>
      <x:c r="C20" s="13" t="str">
        <x:v>Synthetic</x:v>
      </x:c>
      <x:c r="D20" s="13" t="str"/>
      <x:c r="E20" s="13" t="str">
        <x:v>Disqualified</x:v>
      </x:c>
      <x:c r="F20" s="13" t="str">
        <x:v>Collection case na may scheduled court hearing</x:v>
      </x:c>
      <x:c r="G20" s="13" t="str">
        <x:v>March 6, 2026</x:v>
      </x:c>
      <x:c r="H20" s="13" t="str">
        <x:v>-</x:v>
      </x:c>
      <x:c r="I20" s="13" t="str">
        <x:v>Synthetic example: complaint indicates an existing court/prosecutor filing; barangay should not mediate as new KP case.</x:v>
      </x:c>
      <x:c r="J20" s="13" t="str">
        <x:v>Refer</x:v>
      </x:c>
      <x:c r="K20" s="13" t="str">
        <x:v>NON_KP_REFERRAL</x:v>
      </x:c>
      <x:c r="L20" s="13" t="str">
        <x:v>Not KP; already filed in court/prosecutor</x:v>
      </x:c>
      <x:c r="M20" s="13" t="str">
        <x:v>Do not docket as new KP mediation; note existing case and refer to court/prosecutor process</x:v>
      </x:c>
      <x:c r="N20" s="13" t="str">
        <x:v>Matter already filed in court/prosecutor is outside barangay conciliation.</x:v>
      </x:c>
      <x:c r="O20" s="13" t="str"/>
      <x:c r="P20" s="13" t="str">
        <x:v>Collection case na may scheduled court hearing</x:v>
      </x:c>
      <x:c r="Q20" s="13" t="str">
        <x:v>Added to balance 'already-filed-in-court' to 49 examples using the same Justice KP label schema.</x:v>
      </x:c>
      <x:c r="R20" s="13" t="str">
        <x:v>Synthetic row based on category coverage gap from uploaded PDF</x:v>
      </x:c>
    </x:row>
    <x:row r="21" ht="36" customHeight="1">
      <x:c r="A21" s="13" t="str">
        <x:v>SYN-COURT-020</x:v>
      </x:c>
      <x:c r="B21" s="13" t="str">
        <x:v>already-filed-in-court</x:v>
      </x:c>
      <x:c r="C21" s="13" t="str">
        <x:v>Synthetic</x:v>
      </x:c>
      <x:c r="D21" s="13" t="str"/>
      <x:c r="E21" s="13" t="str">
        <x:v>Disqualified</x:v>
      </x:c>
      <x:c r="F21" s="13" t="str">
        <x:v>Damage claim na may existing court summons</x:v>
      </x:c>
      <x:c r="G21" s="13" t="str">
        <x:v>March 9, 2026</x:v>
      </x:c>
      <x:c r="H21" s="13" t="str">
        <x:v>-</x:v>
      </x:c>
      <x:c r="I21" s="13" t="str">
        <x:v>Synthetic example: complaint indicates an existing court/prosecutor filing; barangay should not mediate as new KP case.</x:v>
      </x:c>
      <x:c r="J21" s="13" t="str">
        <x:v>Refer</x:v>
      </x:c>
      <x:c r="K21" s="13" t="str">
        <x:v>NON_KP_REFERRAL</x:v>
      </x:c>
      <x:c r="L21" s="13" t="str">
        <x:v>Not KP; already filed in court/prosecutor</x:v>
      </x:c>
      <x:c r="M21" s="13" t="str">
        <x:v>Do not docket as new KP mediation; note existing case and refer to court/prosecutor process</x:v>
      </x:c>
      <x:c r="N21" s="13" t="str">
        <x:v>Matter already filed in court/prosecutor is outside barangay conciliation.</x:v>
      </x:c>
      <x:c r="O21" s="13" t="str"/>
      <x:c r="P21" s="13" t="str">
        <x:v>Damage claim na may existing court summons</x:v>
      </x:c>
      <x:c r="Q21" s="13" t="str">
        <x:v>Added to balance 'already-filed-in-court' to 49 examples using the same Justice KP label schema.</x:v>
      </x:c>
      <x:c r="R21" s="13" t="str">
        <x:v>Synthetic row based on category coverage gap from uploaded PDF</x:v>
      </x:c>
    </x:row>
    <x:row r="22" ht="36" customHeight="1">
      <x:c r="A22" s="13" t="str">
        <x:v>SYN-COURT-021</x:v>
      </x:c>
      <x:c r="B22" s="13" t="str">
        <x:v>already-filed-in-court</x:v>
      </x:c>
      <x:c r="C22" s="13" t="str">
        <x:v>Synthetic</x:v>
      </x:c>
      <x:c r="D22" s="13" t="str"/>
      <x:c r="E22" s="13" t="str">
        <x:v>Disqualified</x:v>
      </x:c>
      <x:c r="F22" s="13" t="str">
        <x:v>Utang na may pending small claims case sa korte</x:v>
      </x:c>
      <x:c r="G22" s="13" t="str">
        <x:v>March 12, 2026</x:v>
      </x:c>
      <x:c r="H22" s="13" t="str">
        <x:v>-</x:v>
      </x:c>
      <x:c r="I22" s="13" t="str">
        <x:v>Synthetic example: complaint indicates an existing court/prosecutor filing; barangay should not mediate as new KP case.</x:v>
      </x:c>
      <x:c r="J22" s="13" t="str">
        <x:v>Refer</x:v>
      </x:c>
      <x:c r="K22" s="13" t="str">
        <x:v>NON_KP_REFERRAL</x:v>
      </x:c>
      <x:c r="L22" s="13" t="str">
        <x:v>Not KP; already filed in court/prosecutor</x:v>
      </x:c>
      <x:c r="M22" s="13" t="str">
        <x:v>Do not docket as new KP mediation; note existing case and refer to court/prosecutor process</x:v>
      </x:c>
      <x:c r="N22" s="13" t="str">
        <x:v>Matter already filed in court/prosecutor is outside barangay conciliation.</x:v>
      </x:c>
      <x:c r="O22" s="13" t="str"/>
      <x:c r="P22" s="13" t="str">
        <x:v>Utang na may pending small claims case sa korte</x:v>
      </x:c>
      <x:c r="Q22" s="13" t="str">
        <x:v>Added to balance 'already-filed-in-court' to 49 examples using the same Justice KP label schema.</x:v>
      </x:c>
      <x:c r="R22" s="13" t="str">
        <x:v>Synthetic row based on category coverage gap from uploaded PDF</x:v>
      </x:c>
    </x:row>
    <x:row r="23" ht="36" customHeight="1">
      <x:c r="A23" s="13" t="str">
        <x:v>SYN-COURT-022</x:v>
      </x:c>
      <x:c r="B23" s="13" t="str">
        <x:v>already-filed-in-court</x:v>
      </x:c>
      <x:c r="C23" s="13" t="str">
        <x:v>Synthetic</x:v>
      </x:c>
      <x:c r="D23" s="13" t="str"/>
      <x:c r="E23" s="13" t="str">
        <x:v>Disqualified</x:v>
      </x:c>
      <x:c r="F23" s="13" t="str">
        <x:v>Alitan sa lupa na naihain na sa RTC</x:v>
      </x:c>
      <x:c r="G23" s="13" t="str">
        <x:v>March 15, 2026</x:v>
      </x:c>
      <x:c r="H23" s="13" t="str">
        <x:v>-</x:v>
      </x:c>
      <x:c r="I23" s="13" t="str">
        <x:v>Synthetic example: complaint indicates an existing court/prosecutor filing; barangay should not mediate as new KP case.</x:v>
      </x:c>
      <x:c r="J23" s="13" t="str">
        <x:v>Refer</x:v>
      </x:c>
      <x:c r="K23" s="13" t="str">
        <x:v>NON_KP_REFERRAL</x:v>
      </x:c>
      <x:c r="L23" s="13" t="str">
        <x:v>Not KP; already filed in court/prosecutor</x:v>
      </x:c>
      <x:c r="M23" s="13" t="str">
        <x:v>Do not docket as new KP mediation; note existing case and refer to court/prosecutor process</x:v>
      </x:c>
      <x:c r="N23" s="13" t="str">
        <x:v>Matter already filed in court/prosecutor is outside barangay conciliation.</x:v>
      </x:c>
      <x:c r="O23" s="13" t="str"/>
      <x:c r="P23" s="13" t="str">
        <x:v>Alitan sa lupa na naihain na sa RTC</x:v>
      </x:c>
      <x:c r="Q23" s="13" t="str">
        <x:v>Added to balance 'already-filed-in-court' to 49 examples using the same Justice KP label schema.</x:v>
      </x:c>
      <x:c r="R23" s="13" t="str">
        <x:v>Synthetic row based on category coverage gap from uploaded PDF</x:v>
      </x:c>
    </x:row>
    <x:row r="24" ht="36" customHeight="1">
      <x:c r="A24" s="13" t="str">
        <x:v>SYN-COURT-023</x:v>
      </x:c>
      <x:c r="B24" s="13" t="str">
        <x:v>already-filed-in-court</x:v>
      </x:c>
      <x:c r="C24" s="13" t="str">
        <x:v>Synthetic</x:v>
      </x:c>
      <x:c r="D24" s="13" t="str"/>
      <x:c r="E24" s="13" t="str">
        <x:v>Disqualified</x:v>
      </x:c>
      <x:c r="F24" s="13" t="str">
        <x:v>Pananakit na may criminal complaint na sa prosecutor</x:v>
      </x:c>
      <x:c r="G24" s="13" t="str">
        <x:v>March 18, 2026</x:v>
      </x:c>
      <x:c r="H24" s="13" t="str">
        <x:v>-</x:v>
      </x:c>
      <x:c r="I24" s="13" t="str">
        <x:v>Synthetic example: complaint indicates an existing court/prosecutor filing; barangay should not mediate as new KP case.</x:v>
      </x:c>
      <x:c r="J24" s="13" t="str">
        <x:v>Refer</x:v>
      </x:c>
      <x:c r="K24" s="13" t="str">
        <x:v>NON_KP_REFERRAL</x:v>
      </x:c>
      <x:c r="L24" s="13" t="str">
        <x:v>Not KP; already filed in court/prosecutor</x:v>
      </x:c>
      <x:c r="M24" s="13" t="str">
        <x:v>Do not docket as new KP mediation; note existing case and refer to court/prosecutor process</x:v>
      </x:c>
      <x:c r="N24" s="13" t="str">
        <x:v>Matter already filed in court/prosecutor is outside barangay conciliation.</x:v>
      </x:c>
      <x:c r="O24" s="13" t="str"/>
      <x:c r="P24" s="13" t="str">
        <x:v>Pananakit na may criminal complaint na sa prosecutor</x:v>
      </x:c>
      <x:c r="Q24" s="13" t="str">
        <x:v>Added to balance 'already-filed-in-court' to 49 examples using the same Justice KP label schema.</x:v>
      </x:c>
      <x:c r="R24" s="13" t="str">
        <x:v>Synthetic row based on category coverage gap from uploaded PDF</x:v>
      </x:c>
    </x:row>
    <x:row r="25" ht="36" customHeight="1">
      <x:c r="A25" s="13" t="str">
        <x:v>SYN-COURT-024</x:v>
      </x:c>
      <x:c r="B25" s="13" t="str">
        <x:v>already-filed-in-court</x:v>
      </x:c>
      <x:c r="C25" s="13" t="str">
        <x:v>Synthetic</x:v>
      </x:c>
      <x:c r="D25" s="13" t="str"/>
      <x:c r="E25" s="13" t="str">
        <x:v>Disqualified</x:v>
      </x:c>
      <x:c r="F25" s="13" t="str">
        <x:v>Boundary dispute na may nakabinbing civil case</x:v>
      </x:c>
      <x:c r="G25" s="13" t="str">
        <x:v>March 21, 2026</x:v>
      </x:c>
      <x:c r="H25" s="13" t="str">
        <x:v>-</x:v>
      </x:c>
      <x:c r="I25" s="13" t="str">
        <x:v>Synthetic example: complaint indicates an existing court/prosecutor filing; barangay should not mediate as new KP case.</x:v>
      </x:c>
      <x:c r="J25" s="13" t="str">
        <x:v>Refer</x:v>
      </x:c>
      <x:c r="K25" s="13" t="str">
        <x:v>NON_KP_REFERRAL</x:v>
      </x:c>
      <x:c r="L25" s="13" t="str">
        <x:v>Not KP; already filed in court/prosecutor</x:v>
      </x:c>
      <x:c r="M25" s="13" t="str">
        <x:v>Do not docket as new KP mediation; note existing case and refer to court/prosecutor process</x:v>
      </x:c>
      <x:c r="N25" s="13" t="str">
        <x:v>Matter already filed in court/prosecutor is outside barangay conciliation.</x:v>
      </x:c>
      <x:c r="O25" s="13" t="str"/>
      <x:c r="P25" s="13" t="str">
        <x:v>Boundary dispute na may nakabinbing civil case</x:v>
      </x:c>
      <x:c r="Q25" s="13" t="str">
        <x:v>Added to balance 'already-filed-in-court' to 49 examples using the same Justice KP label schema.</x:v>
      </x:c>
      <x:c r="R25" s="13" t="str">
        <x:v>Synthetic row based on category coverage gap from uploaded PDF</x:v>
      </x:c>
    </x:row>
    <x:row r="26" ht="36" customHeight="1">
      <x:c r="A26" s="13" t="str">
        <x:v>SYN-COURT-025</x:v>
      </x:c>
      <x:c r="B26" s="13" t="str">
        <x:v>already-filed-in-court</x:v>
      </x:c>
      <x:c r="C26" s="13" t="str">
        <x:v>Synthetic</x:v>
      </x:c>
      <x:c r="D26" s="13" t="str"/>
      <x:c r="E26" s="13" t="str">
        <x:v>Disqualified</x:v>
      </x:c>
      <x:c r="F26" s="13" t="str">
        <x:v>Threat complaint na may docket number na sa korte</x:v>
      </x:c>
      <x:c r="G26" s="13" t="str">
        <x:v>March 24, 2026</x:v>
      </x:c>
      <x:c r="H26" s="13" t="str">
        <x:v>-</x:v>
      </x:c>
      <x:c r="I26" s="13" t="str">
        <x:v>Synthetic example: complaint indicates an existing court/prosecutor filing; barangay should not mediate as new KP case.</x:v>
      </x:c>
      <x:c r="J26" s="13" t="str">
        <x:v>Refer</x:v>
      </x:c>
      <x:c r="K26" s="13" t="str">
        <x:v>NON_KP_REFERRAL</x:v>
      </x:c>
      <x:c r="L26" s="13" t="str">
        <x:v>Not KP; already filed in court/prosecutor</x:v>
      </x:c>
      <x:c r="M26" s="13" t="str">
        <x:v>Do not docket as new KP mediation; note existing case and refer to court/prosecutor process</x:v>
      </x:c>
      <x:c r="N26" s="13" t="str">
        <x:v>Matter already filed in court/prosecutor is outside barangay conciliation.</x:v>
      </x:c>
      <x:c r="O26" s="13" t="str"/>
      <x:c r="P26" s="13" t="str">
        <x:v>Threat complaint na may docket number na sa korte</x:v>
      </x:c>
      <x:c r="Q26" s="13" t="str">
        <x:v>Added to balance 'already-filed-in-court' to 49 examples using the same Justice KP label schema.</x:v>
      </x:c>
      <x:c r="R26" s="13" t="str">
        <x:v>Synthetic row based on category coverage gap from uploaded PDF</x:v>
      </x:c>
    </x:row>
    <x:row r="27" ht="36" customHeight="1">
      <x:c r="A27" s="13" t="str">
        <x:v>SYN-COURT-026</x:v>
      </x:c>
      <x:c r="B27" s="13" t="str">
        <x:v>already-filed-in-court</x:v>
      </x:c>
      <x:c r="C27" s="13" t="str">
        <x:v>Synthetic</x:v>
      </x:c>
      <x:c r="D27" s="13" t="str"/>
      <x:c r="E27" s="13" t="str">
        <x:v>Disqualified</x:v>
      </x:c>
      <x:c r="F27" s="13" t="str">
        <x:v>Renta dispute na nasa small claims na</x:v>
      </x:c>
      <x:c r="G27" s="13" t="str">
        <x:v>March 27, 2026</x:v>
      </x:c>
      <x:c r="H27" s="13" t="str">
        <x:v>-</x:v>
      </x:c>
      <x:c r="I27" s="13" t="str">
        <x:v>Synthetic example: complaint indicates an existing court/prosecutor filing; barangay should not mediate as new KP case.</x:v>
      </x:c>
      <x:c r="J27" s="13" t="str">
        <x:v>Refer</x:v>
      </x:c>
      <x:c r="K27" s="13" t="str">
        <x:v>NON_KP_REFERRAL</x:v>
      </x:c>
      <x:c r="L27" s="13" t="str">
        <x:v>Not KP; already filed in court/prosecutor</x:v>
      </x:c>
      <x:c r="M27" s="13" t="str">
        <x:v>Do not docket as new KP mediation; note existing case and refer to court/prosecutor process</x:v>
      </x:c>
      <x:c r="N27" s="13" t="str">
        <x:v>Matter already filed in court/prosecutor is outside barangay conciliation.</x:v>
      </x:c>
      <x:c r="O27" s="13" t="str"/>
      <x:c r="P27" s="13" t="str">
        <x:v>Renta dispute na nasa small claims na</x:v>
      </x:c>
      <x:c r="Q27" s="13" t="str">
        <x:v>Added to balance 'already-filed-in-court' to 49 examples using the same Justice KP label schema.</x:v>
      </x:c>
      <x:c r="R27" s="13" t="str">
        <x:v>Synthetic row based on category coverage gap from uploaded PDF</x:v>
      </x:c>
    </x:row>
    <x:row r="28" ht="36" customHeight="1">
      <x:c r="A28" s="13" t="str">
        <x:v>SYN-COURT-027</x:v>
      </x:c>
      <x:c r="B28" s="13" t="str">
        <x:v>already-filed-in-court</x:v>
      </x:c>
      <x:c r="C28" s="13" t="str">
        <x:v>Synthetic</x:v>
      </x:c>
      <x:c r="D28" s="13" t="str"/>
      <x:c r="E28" s="13" t="str">
        <x:v>Disqualified</x:v>
      </x:c>
      <x:c r="F28" s="13" t="str">
        <x:v>Property dispute na may pending injunction case</x:v>
      </x:c>
      <x:c r="G28" s="13" t="str">
        <x:v>March 30, 2026</x:v>
      </x:c>
      <x:c r="H28" s="13" t="str">
        <x:v>-</x:v>
      </x:c>
      <x:c r="I28" s="13" t="str">
        <x:v>Synthetic example: complaint indicates an existing court/prosecutor filing; barangay should not mediate as new KP case.</x:v>
      </x:c>
      <x:c r="J28" s="13" t="str">
        <x:v>Refer</x:v>
      </x:c>
      <x:c r="K28" s="13" t="str">
        <x:v>NON_KP_REFERRAL</x:v>
      </x:c>
      <x:c r="L28" s="13" t="str">
        <x:v>Not KP; already filed in court/prosecutor</x:v>
      </x:c>
      <x:c r="M28" s="13" t="str">
        <x:v>Do not docket as new KP mediation; note existing case and refer to court/prosecutor process</x:v>
      </x:c>
      <x:c r="N28" s="13" t="str">
        <x:v>Matter already filed in court/prosecutor is outside barangay conciliation.</x:v>
      </x:c>
      <x:c r="O28" s="13" t="str"/>
      <x:c r="P28" s="13" t="str">
        <x:v>Property dispute na may pending injunction case</x:v>
      </x:c>
      <x:c r="Q28" s="13" t="str">
        <x:v>Added to balance 'already-filed-in-court' to 49 examples using the same Justice KP label schema.</x:v>
      </x:c>
      <x:c r="R28" s="13" t="str">
        <x:v>Synthetic row based on category coverage gap from uploaded PDF</x:v>
      </x:c>
    </x:row>
    <x:row r="29" ht="36" customHeight="1">
      <x:c r="A29" s="13" t="str">
        <x:v>SYN-COURT-028</x:v>
      </x:c>
      <x:c r="B29" s="13" t="str">
        <x:v>already-filed-in-court</x:v>
      </x:c>
      <x:c r="C29" s="13" t="str">
        <x:v>Synthetic</x:v>
      </x:c>
      <x:c r="D29" s="13" t="str"/>
      <x:c r="E29" s="13" t="str">
        <x:v>Disqualified</x:v>
      </x:c>
      <x:c r="F29" s="13" t="str">
        <x:v>Defamation complaint na na-file na sa prosecutor</x:v>
      </x:c>
      <x:c r="G29" s="13" t="str">
        <x:v>April 2, 2026</x:v>
      </x:c>
      <x:c r="H29" s="13" t="str">
        <x:v>-</x:v>
      </x:c>
      <x:c r="I29" s="13" t="str">
        <x:v>Synthetic example: complaint indicates an existing court/prosecutor filing; barangay should not mediate as new KP case.</x:v>
      </x:c>
      <x:c r="J29" s="13" t="str">
        <x:v>Refer</x:v>
      </x:c>
      <x:c r="K29" s="13" t="str">
        <x:v>NON_KP_REFERRAL</x:v>
      </x:c>
      <x:c r="L29" s="13" t="str">
        <x:v>Not KP; already filed in court/prosecutor</x:v>
      </x:c>
      <x:c r="M29" s="13" t="str">
        <x:v>Do not docket as new KP mediation; note existing case and refer to court/prosecutor process</x:v>
      </x:c>
      <x:c r="N29" s="13" t="str">
        <x:v>Matter already filed in court/prosecutor is outside barangay conciliation.</x:v>
      </x:c>
      <x:c r="O29" s="13" t="str"/>
      <x:c r="P29" s="13" t="str">
        <x:v>Defamation complaint na na-file na sa prosecutor</x:v>
      </x:c>
      <x:c r="Q29" s="13" t="str">
        <x:v>Added to balance 'already-filed-in-court' to 49 examples using the same Justice KP label schema.</x:v>
      </x:c>
      <x:c r="R29" s="13" t="str">
        <x:v>Synthetic row based on category coverage gap from uploaded PDF</x:v>
      </x:c>
    </x:row>
    <x:row r="30" ht="36" customHeight="1">
      <x:c r="A30" s="13" t="str">
        <x:v>SYN-COURT-029</x:v>
      </x:c>
      <x:c r="B30" s="13" t="str">
        <x:v>already-filed-in-court</x:v>
      </x:c>
      <x:c r="C30" s="13" t="str">
        <x:v>Synthetic</x:v>
      </x:c>
      <x:c r="D30" s="13" t="str"/>
      <x:c r="E30" s="13" t="str">
        <x:v>Disqualified</x:v>
      </x:c>
      <x:c r="F30" s="13" t="str">
        <x:v>Collection case na may scheduled court hearing</x:v>
      </x:c>
      <x:c r="G30" s="13" t="str">
        <x:v>April 5, 2026</x:v>
      </x:c>
      <x:c r="H30" s="13" t="str">
        <x:v>-</x:v>
      </x:c>
      <x:c r="I30" s="13" t="str">
        <x:v>Synthetic example: complaint indicates an existing court/prosecutor filing; barangay should not mediate as new KP case.</x:v>
      </x:c>
      <x:c r="J30" s="13" t="str">
        <x:v>Refer</x:v>
      </x:c>
      <x:c r="K30" s="13" t="str">
        <x:v>NON_KP_REFERRAL</x:v>
      </x:c>
      <x:c r="L30" s="13" t="str">
        <x:v>Not KP; already filed in court/prosecutor</x:v>
      </x:c>
      <x:c r="M30" s="13" t="str">
        <x:v>Do not docket as new KP mediation; note existing case and refer to court/prosecutor process</x:v>
      </x:c>
      <x:c r="N30" s="13" t="str">
        <x:v>Matter already filed in court/prosecutor is outside barangay conciliation.</x:v>
      </x:c>
      <x:c r="O30" s="13" t="str"/>
      <x:c r="P30" s="13" t="str">
        <x:v>Collection case na may scheduled court hearing</x:v>
      </x:c>
      <x:c r="Q30" s="13" t="str">
        <x:v>Added to balance 'already-filed-in-court' to 49 examples using the same Justice KP label schema.</x:v>
      </x:c>
      <x:c r="R30" s="13" t="str">
        <x:v>Synthetic row based on category coverage gap from uploaded PDF</x:v>
      </x:c>
    </x:row>
    <x:row r="31" ht="36" customHeight="1">
      <x:c r="A31" s="13" t="str">
        <x:v>SYN-COURT-030</x:v>
      </x:c>
      <x:c r="B31" s="13" t="str">
        <x:v>already-filed-in-court</x:v>
      </x:c>
      <x:c r="C31" s="13" t="str">
        <x:v>Synthetic</x:v>
      </x:c>
      <x:c r="D31" s="13" t="str"/>
      <x:c r="E31" s="13" t="str">
        <x:v>Disqualified</x:v>
      </x:c>
      <x:c r="F31" s="13" t="str">
        <x:v>Damage claim na may existing court summons</x:v>
      </x:c>
      <x:c r="G31" s="13" t="str">
        <x:v>April 8, 2026</x:v>
      </x:c>
      <x:c r="H31" s="13" t="str">
        <x:v>-</x:v>
      </x:c>
      <x:c r="I31" s="13" t="str">
        <x:v>Synthetic example: complaint indicates an existing court/prosecutor filing; barangay should not mediate as new KP case.</x:v>
      </x:c>
      <x:c r="J31" s="13" t="str">
        <x:v>Refer</x:v>
      </x:c>
      <x:c r="K31" s="13" t="str">
        <x:v>NON_KP_REFERRAL</x:v>
      </x:c>
      <x:c r="L31" s="13" t="str">
        <x:v>Not KP; already filed in court/prosecutor</x:v>
      </x:c>
      <x:c r="M31" s="13" t="str">
        <x:v>Do not docket as new KP mediation; note existing case and refer to court/prosecutor process</x:v>
      </x:c>
      <x:c r="N31" s="13" t="str">
        <x:v>Matter already filed in court/prosecutor is outside barangay conciliation.</x:v>
      </x:c>
      <x:c r="O31" s="13" t="str"/>
      <x:c r="P31" s="13" t="str">
        <x:v>Damage claim na may existing court summons</x:v>
      </x:c>
      <x:c r="Q31" s="13" t="str">
        <x:v>Added to balance 'already-filed-in-court' to 49 examples using the same Justice KP label schema.</x:v>
      </x:c>
      <x:c r="R31" s="13" t="str">
        <x:v>Synthetic row based on category coverage gap from uploaded PDF</x:v>
      </x:c>
    </x:row>
    <x:row r="32" ht="36" customHeight="1">
      <x:c r="A32" s="13" t="str">
        <x:v>SYN-COURT-031</x:v>
      </x:c>
      <x:c r="B32" s="13" t="str">
        <x:v>already-filed-in-court</x:v>
      </x:c>
      <x:c r="C32" s="13" t="str">
        <x:v>Synthetic</x:v>
      </x:c>
      <x:c r="D32" s="13" t="str"/>
      <x:c r="E32" s="13" t="str">
        <x:v>Disqualified</x:v>
      </x:c>
      <x:c r="F32" s="13" t="str">
        <x:v>Utang na may pending small claims case sa korte</x:v>
      </x:c>
      <x:c r="G32" s="13" t="str">
        <x:v>April 11, 2026</x:v>
      </x:c>
      <x:c r="H32" s="13" t="str">
        <x:v>-</x:v>
      </x:c>
      <x:c r="I32" s="13" t="str">
        <x:v>Synthetic example: complaint indicates an existing court/prosecutor filing; barangay should not mediate as new KP case.</x:v>
      </x:c>
      <x:c r="J32" s="13" t="str">
        <x:v>Refer</x:v>
      </x:c>
      <x:c r="K32" s="13" t="str">
        <x:v>NON_KP_REFERRAL</x:v>
      </x:c>
      <x:c r="L32" s="13" t="str">
        <x:v>Not KP; already filed in court/prosecutor</x:v>
      </x:c>
      <x:c r="M32" s="13" t="str">
        <x:v>Do not docket as new KP mediation; note existing case and refer to court/prosecutor process</x:v>
      </x:c>
      <x:c r="N32" s="13" t="str">
        <x:v>Matter already filed in court/prosecutor is outside barangay conciliation.</x:v>
      </x:c>
      <x:c r="O32" s="13" t="str"/>
      <x:c r="P32" s="13" t="str">
        <x:v>Utang na may pending small claims case sa korte</x:v>
      </x:c>
      <x:c r="Q32" s="13" t="str">
        <x:v>Added to balance 'already-filed-in-court' to 49 examples using the same Justice KP label schema.</x:v>
      </x:c>
      <x:c r="R32" s="13" t="str">
        <x:v>Synthetic row based on category coverage gap from uploaded PDF</x:v>
      </x:c>
    </x:row>
    <x:row r="33" ht="36" customHeight="1">
      <x:c r="A33" s="13" t="str">
        <x:v>SYN-COURT-032</x:v>
      </x:c>
      <x:c r="B33" s="13" t="str">
        <x:v>already-filed-in-court</x:v>
      </x:c>
      <x:c r="C33" s="13" t="str">
        <x:v>Synthetic</x:v>
      </x:c>
      <x:c r="D33" s="13" t="str"/>
      <x:c r="E33" s="13" t="str">
        <x:v>Disqualified</x:v>
      </x:c>
      <x:c r="F33" s="13" t="str">
        <x:v>Alitan sa lupa na naihain na sa RTC</x:v>
      </x:c>
      <x:c r="G33" s="13" t="str">
        <x:v>April 14, 2026</x:v>
      </x:c>
      <x:c r="H33" s="13" t="str">
        <x:v>-</x:v>
      </x:c>
      <x:c r="I33" s="13" t="str">
        <x:v>Synthetic example: complaint indicates an existing court/prosecutor filing; barangay should not mediate as new KP case.</x:v>
      </x:c>
      <x:c r="J33" s="13" t="str">
        <x:v>Refer</x:v>
      </x:c>
      <x:c r="K33" s="13" t="str">
        <x:v>NON_KP_REFERRAL</x:v>
      </x:c>
      <x:c r="L33" s="13" t="str">
        <x:v>Not KP; already filed in court/prosecutor</x:v>
      </x:c>
      <x:c r="M33" s="13" t="str">
        <x:v>Do not docket as new KP mediation; note existing case and refer to court/prosecutor process</x:v>
      </x:c>
      <x:c r="N33" s="13" t="str">
        <x:v>Matter already filed in court/prosecutor is outside barangay conciliation.</x:v>
      </x:c>
      <x:c r="O33" s="13" t="str"/>
      <x:c r="P33" s="13" t="str">
        <x:v>Alitan sa lupa na naihain na sa RTC</x:v>
      </x:c>
      <x:c r="Q33" s="13" t="str">
        <x:v>Added to balance 'already-filed-in-court' to 49 examples using the same Justice KP label schema.</x:v>
      </x:c>
      <x:c r="R33" s="13" t="str">
        <x:v>Synthetic row based on category coverage gap from uploaded PDF</x:v>
      </x:c>
    </x:row>
    <x:row r="34" ht="36" customHeight="1">
      <x:c r="A34" s="13" t="str">
        <x:v>SYN-COURT-033</x:v>
      </x:c>
      <x:c r="B34" s="13" t="str">
        <x:v>already-filed-in-court</x:v>
      </x:c>
      <x:c r="C34" s="13" t="str">
        <x:v>Synthetic</x:v>
      </x:c>
      <x:c r="D34" s="13" t="str"/>
      <x:c r="E34" s="13" t="str">
        <x:v>Disqualified</x:v>
      </x:c>
      <x:c r="F34" s="13" t="str">
        <x:v>Pananakit na may criminal complaint na sa prosecutor</x:v>
      </x:c>
      <x:c r="G34" s="13" t="str">
        <x:v>April 17, 2026</x:v>
      </x:c>
      <x:c r="H34" s="13" t="str">
        <x:v>-</x:v>
      </x:c>
      <x:c r="I34" s="13" t="str">
        <x:v>Synthetic example: complaint indicates an existing court/prosecutor filing; barangay should not mediate as new KP case.</x:v>
      </x:c>
      <x:c r="J34" s="13" t="str">
        <x:v>Refer</x:v>
      </x:c>
      <x:c r="K34" s="13" t="str">
        <x:v>NON_KP_REFERRAL</x:v>
      </x:c>
      <x:c r="L34" s="13" t="str">
        <x:v>Not KP; already filed in court/prosecutor</x:v>
      </x:c>
      <x:c r="M34" s="13" t="str">
        <x:v>Do not docket as new KP mediation; note existing case and refer to court/prosecutor process</x:v>
      </x:c>
      <x:c r="N34" s="13" t="str">
        <x:v>Matter already filed in court/prosecutor is outside barangay conciliation.</x:v>
      </x:c>
      <x:c r="O34" s="13" t="str"/>
      <x:c r="P34" s="13" t="str">
        <x:v>Pananakit na may criminal complaint na sa prosecutor</x:v>
      </x:c>
      <x:c r="Q34" s="13" t="str">
        <x:v>Added to balance 'already-filed-in-court' to 49 examples using the same Justice KP label schema.</x:v>
      </x:c>
      <x:c r="R34" s="13" t="str">
        <x:v>Synthetic row based on category coverage gap from uploaded PDF</x:v>
      </x:c>
    </x:row>
    <x:row r="35" ht="36" customHeight="1">
      <x:c r="A35" s="13" t="str">
        <x:v>SYN-COURT-034</x:v>
      </x:c>
      <x:c r="B35" s="13" t="str">
        <x:v>already-filed-in-court</x:v>
      </x:c>
      <x:c r="C35" s="13" t="str">
        <x:v>Synthetic</x:v>
      </x:c>
      <x:c r="D35" s="13" t="str"/>
      <x:c r="E35" s="13" t="str">
        <x:v>Disqualified</x:v>
      </x:c>
      <x:c r="F35" s="13" t="str">
        <x:v>Boundary dispute na may nakabinbing civil case</x:v>
      </x:c>
      <x:c r="G35" s="13" t="str">
        <x:v>April 20, 2026</x:v>
      </x:c>
      <x:c r="H35" s="13" t="str">
        <x:v>-</x:v>
      </x:c>
      <x:c r="I35" s="13" t="str">
        <x:v>Synthetic example: complaint indicates an existing court/prosecutor filing; barangay should not mediate as new KP case.</x:v>
      </x:c>
      <x:c r="J35" s="13" t="str">
        <x:v>Refer</x:v>
      </x:c>
      <x:c r="K35" s="13" t="str">
        <x:v>NON_KP_REFERRAL</x:v>
      </x:c>
      <x:c r="L35" s="13" t="str">
        <x:v>Not KP; already filed in court/prosecutor</x:v>
      </x:c>
      <x:c r="M35" s="13" t="str">
        <x:v>Do not docket as new KP mediation; note existing case and refer to court/prosecutor process</x:v>
      </x:c>
      <x:c r="N35" s="13" t="str">
        <x:v>Matter already filed in court/prosecutor is outside barangay conciliation.</x:v>
      </x:c>
      <x:c r="O35" s="13" t="str"/>
      <x:c r="P35" s="13" t="str">
        <x:v>Boundary dispute na may nakabinbing civil case</x:v>
      </x:c>
      <x:c r="Q35" s="13" t="str">
        <x:v>Added to balance 'already-filed-in-court' to 49 examples using the same Justice KP label schema.</x:v>
      </x:c>
      <x:c r="R35" s="13" t="str">
        <x:v>Synthetic row based on category coverage gap from uploaded PDF</x:v>
      </x:c>
    </x:row>
    <x:row r="36" ht="36" customHeight="1">
      <x:c r="A36" s="13" t="str">
        <x:v>SYN-COURT-035</x:v>
      </x:c>
      <x:c r="B36" s="13" t="str">
        <x:v>already-filed-in-court</x:v>
      </x:c>
      <x:c r="C36" s="13" t="str">
        <x:v>Synthetic</x:v>
      </x:c>
      <x:c r="D36" s="13" t="str"/>
      <x:c r="E36" s="13" t="str">
        <x:v>Disqualified</x:v>
      </x:c>
      <x:c r="F36" s="13" t="str">
        <x:v>Threat complaint na may docket number na sa korte</x:v>
      </x:c>
      <x:c r="G36" s="13" t="str">
        <x:v>April 23, 2026</x:v>
      </x:c>
      <x:c r="H36" s="13" t="str">
        <x:v>-</x:v>
      </x:c>
      <x:c r="I36" s="13" t="str">
        <x:v>Synthetic example: complaint indicates an existing court/prosecutor filing; barangay should not mediate as new KP case.</x:v>
      </x:c>
      <x:c r="J36" s="13" t="str">
        <x:v>Refer</x:v>
      </x:c>
      <x:c r="K36" s="13" t="str">
        <x:v>NON_KP_REFERRAL</x:v>
      </x:c>
      <x:c r="L36" s="13" t="str">
        <x:v>Not KP; already filed in court/prosecutor</x:v>
      </x:c>
      <x:c r="M36" s="13" t="str">
        <x:v>Do not docket as new KP mediation; note existing case and refer to court/prosecutor process</x:v>
      </x:c>
      <x:c r="N36" s="13" t="str">
        <x:v>Matter already filed in court/prosecutor is outside barangay conciliation.</x:v>
      </x:c>
      <x:c r="O36" s="13" t="str"/>
      <x:c r="P36" s="13" t="str">
        <x:v>Threat complaint na may docket number na sa korte</x:v>
      </x:c>
      <x:c r="Q36" s="13" t="str">
        <x:v>Added to balance 'already-filed-in-court' to 49 examples using the same Justice KP label schema.</x:v>
      </x:c>
      <x:c r="R36" s="13" t="str">
        <x:v>Synthetic row based on category coverage gap from uploaded PDF</x:v>
      </x:c>
    </x:row>
    <x:row r="37" ht="36" customHeight="1">
      <x:c r="A37" s="13" t="str">
        <x:v>SYN-COURT-036</x:v>
      </x:c>
      <x:c r="B37" s="13" t="str">
        <x:v>already-filed-in-court</x:v>
      </x:c>
      <x:c r="C37" s="13" t="str">
        <x:v>Synthetic</x:v>
      </x:c>
      <x:c r="D37" s="13" t="str"/>
      <x:c r="E37" s="13" t="str">
        <x:v>Disqualified</x:v>
      </x:c>
      <x:c r="F37" s="13" t="str">
        <x:v>Renta dispute na nasa small claims na</x:v>
      </x:c>
      <x:c r="G37" s="13" t="str">
        <x:v>April 26, 2026</x:v>
      </x:c>
      <x:c r="H37" s="13" t="str">
        <x:v>-</x:v>
      </x:c>
      <x:c r="I37" s="13" t="str">
        <x:v>Synthetic example: complaint indicates an existing court/prosecutor filing; barangay should not mediate as new KP case.</x:v>
      </x:c>
      <x:c r="J37" s="13" t="str">
        <x:v>Refer</x:v>
      </x:c>
      <x:c r="K37" s="13" t="str">
        <x:v>NON_KP_REFERRAL</x:v>
      </x:c>
      <x:c r="L37" s="13" t="str">
        <x:v>Not KP; already filed in court/prosecutor</x:v>
      </x:c>
      <x:c r="M37" s="13" t="str">
        <x:v>Do not docket as new KP mediation; note existing case and refer to court/prosecutor process</x:v>
      </x:c>
      <x:c r="N37" s="13" t="str">
        <x:v>Matter already filed in court/prosecutor is outside barangay conciliation.</x:v>
      </x:c>
      <x:c r="O37" s="13" t="str"/>
      <x:c r="P37" s="13" t="str">
        <x:v>Renta dispute na nasa small claims na</x:v>
      </x:c>
      <x:c r="Q37" s="13" t="str">
        <x:v>Added to balance 'already-filed-in-court' to 49 examples using the same Justice KP label schema.</x:v>
      </x:c>
      <x:c r="R37" s="13" t="str">
        <x:v>Synthetic row based on category coverage gap from uploaded PDF</x:v>
      </x:c>
    </x:row>
    <x:row r="38" ht="36" customHeight="1">
      <x:c r="A38" s="13" t="str">
        <x:v>SYN-COURT-037</x:v>
      </x:c>
      <x:c r="B38" s="13" t="str">
        <x:v>already-filed-in-court</x:v>
      </x:c>
      <x:c r="C38" s="13" t="str">
        <x:v>Synthetic</x:v>
      </x:c>
      <x:c r="D38" s="13" t="str"/>
      <x:c r="E38" s="13" t="str">
        <x:v>Disqualified</x:v>
      </x:c>
      <x:c r="F38" s="13" t="str">
        <x:v>Property dispute na may pending injunction case</x:v>
      </x:c>
      <x:c r="G38" s="13" t="str">
        <x:v>April 29, 2026</x:v>
      </x:c>
      <x:c r="H38" s="13" t="str">
        <x:v>-</x:v>
      </x:c>
      <x:c r="I38" s="13" t="str">
        <x:v>Synthetic example: complaint indicates an existing court/prosecutor filing; barangay should not mediate as new KP case.</x:v>
      </x:c>
      <x:c r="J38" s="13" t="str">
        <x:v>Refer</x:v>
      </x:c>
      <x:c r="K38" s="13" t="str">
        <x:v>NON_KP_REFERRAL</x:v>
      </x:c>
      <x:c r="L38" s="13" t="str">
        <x:v>Not KP; already filed in court/prosecutor</x:v>
      </x:c>
      <x:c r="M38" s="13" t="str">
        <x:v>Do not docket as new KP mediation; note existing case and refer to court/prosecutor process</x:v>
      </x:c>
      <x:c r="N38" s="13" t="str">
        <x:v>Matter already filed in court/prosecutor is outside barangay conciliation.</x:v>
      </x:c>
      <x:c r="O38" s="13" t="str"/>
      <x:c r="P38" s="13" t="str">
        <x:v>Property dispute na may pending injunction case</x:v>
      </x:c>
      <x:c r="Q38" s="13" t="str">
        <x:v>Added to balance 'already-filed-in-court' to 49 examples using the same Justice KP label schema.</x:v>
      </x:c>
      <x:c r="R38" s="13" t="str">
        <x:v>Synthetic row based on category coverage gap from uploaded PDF</x:v>
      </x:c>
    </x:row>
    <x:row r="39" ht="36" customHeight="1">
      <x:c r="A39" s="13" t="str">
        <x:v>SYN-COURT-038</x:v>
      </x:c>
      <x:c r="B39" s="13" t="str">
        <x:v>already-filed-in-court</x:v>
      </x:c>
      <x:c r="C39" s="13" t="str">
        <x:v>Synthetic</x:v>
      </x:c>
      <x:c r="D39" s="13" t="str"/>
      <x:c r="E39" s="13" t="str">
        <x:v>Disqualified</x:v>
      </x:c>
      <x:c r="F39" s="13" t="str">
        <x:v>Defamation complaint na na-file na sa prosecutor</x:v>
      </x:c>
      <x:c r="G39" s="13" t="str">
        <x:v>May 2, 2026</x:v>
      </x:c>
      <x:c r="H39" s="13" t="str">
        <x:v>-</x:v>
      </x:c>
      <x:c r="I39" s="13" t="str">
        <x:v>Synthetic example: complaint indicates an existing court/prosecutor filing; barangay should not mediate as new KP case.</x:v>
      </x:c>
      <x:c r="J39" s="13" t="str">
        <x:v>Refer</x:v>
      </x:c>
      <x:c r="K39" s="13" t="str">
        <x:v>NON_KP_REFERRAL</x:v>
      </x:c>
      <x:c r="L39" s="13" t="str">
        <x:v>Not KP; already filed in court/prosecutor</x:v>
      </x:c>
      <x:c r="M39" s="13" t="str">
        <x:v>Do not docket as new KP mediation; note existing case and refer to court/prosecutor process</x:v>
      </x:c>
      <x:c r="N39" s="13" t="str">
        <x:v>Matter already filed in court/prosecutor is outside barangay conciliation.</x:v>
      </x:c>
      <x:c r="O39" s="13" t="str"/>
      <x:c r="P39" s="13" t="str">
        <x:v>Defamation complaint na na-file na sa prosecutor</x:v>
      </x:c>
      <x:c r="Q39" s="13" t="str">
        <x:v>Added to balance 'already-filed-in-court' to 49 examples using the same Justice KP label schema.</x:v>
      </x:c>
      <x:c r="R39" s="13" t="str">
        <x:v>Synthetic row based on category coverage gap from uploaded PDF</x:v>
      </x:c>
    </x:row>
    <x:row r="40" ht="36" customHeight="1">
      <x:c r="A40" s="13" t="str">
        <x:v>SYN-COURT-039</x:v>
      </x:c>
      <x:c r="B40" s="13" t="str">
        <x:v>already-filed-in-court</x:v>
      </x:c>
      <x:c r="C40" s="13" t="str">
        <x:v>Synthetic</x:v>
      </x:c>
      <x:c r="D40" s="13" t="str"/>
      <x:c r="E40" s="13" t="str">
        <x:v>Disqualified</x:v>
      </x:c>
      <x:c r="F40" s="13" t="str">
        <x:v>Collection case na may scheduled court hearing</x:v>
      </x:c>
      <x:c r="G40" s="13" t="str">
        <x:v>May 5, 2026</x:v>
      </x:c>
      <x:c r="H40" s="13" t="str">
        <x:v>-</x:v>
      </x:c>
      <x:c r="I40" s="13" t="str">
        <x:v>Synthetic example: complaint indicates an existing court/prosecutor filing; barangay should not mediate as new KP case.</x:v>
      </x:c>
      <x:c r="J40" s="13" t="str">
        <x:v>Refer</x:v>
      </x:c>
      <x:c r="K40" s="13" t="str">
        <x:v>NON_KP_REFERRAL</x:v>
      </x:c>
      <x:c r="L40" s="13" t="str">
        <x:v>Not KP; already filed in court/prosecutor</x:v>
      </x:c>
      <x:c r="M40" s="13" t="str">
        <x:v>Do not docket as new KP mediation; note existing case and refer to court/prosecutor process</x:v>
      </x:c>
      <x:c r="N40" s="13" t="str">
        <x:v>Matter already filed in court/prosecutor is outside barangay conciliation.</x:v>
      </x:c>
      <x:c r="O40" s="13" t="str"/>
      <x:c r="P40" s="13" t="str">
        <x:v>Collection case na may scheduled court hearing</x:v>
      </x:c>
      <x:c r="Q40" s="13" t="str">
        <x:v>Added to balance 'already-filed-in-court' to 49 examples using the same Justice KP label schema.</x:v>
      </x:c>
      <x:c r="R40" s="13" t="str">
        <x:v>Synthetic row based on category coverage gap from uploaded PDF</x:v>
      </x:c>
    </x:row>
    <x:row r="41" ht="36" customHeight="1">
      <x:c r="A41" s="13" t="str">
        <x:v>SYN-COURT-040</x:v>
      </x:c>
      <x:c r="B41" s="13" t="str">
        <x:v>already-filed-in-court</x:v>
      </x:c>
      <x:c r="C41" s="13" t="str">
        <x:v>Synthetic</x:v>
      </x:c>
      <x:c r="D41" s="13" t="str"/>
      <x:c r="E41" s="13" t="str">
        <x:v>Disqualified</x:v>
      </x:c>
      <x:c r="F41" s="13" t="str">
        <x:v>Damage claim na may existing court summons</x:v>
      </x:c>
      <x:c r="G41" s="13" t="str">
        <x:v>May 8, 2026</x:v>
      </x:c>
      <x:c r="H41" s="13" t="str">
        <x:v>-</x:v>
      </x:c>
      <x:c r="I41" s="13" t="str">
        <x:v>Synthetic example: complaint indicates an existing court/prosecutor filing; barangay should not mediate as new KP case.</x:v>
      </x:c>
      <x:c r="J41" s="13" t="str">
        <x:v>Refer</x:v>
      </x:c>
      <x:c r="K41" s="13" t="str">
        <x:v>NON_KP_REFERRAL</x:v>
      </x:c>
      <x:c r="L41" s="13" t="str">
        <x:v>Not KP; already filed in court/prosecutor</x:v>
      </x:c>
      <x:c r="M41" s="13" t="str">
        <x:v>Do not docket as new KP mediation; note existing case and refer to court/prosecutor process</x:v>
      </x:c>
      <x:c r="N41" s="13" t="str">
        <x:v>Matter already filed in court/prosecutor is outside barangay conciliation.</x:v>
      </x:c>
      <x:c r="O41" s="13" t="str"/>
      <x:c r="P41" s="13" t="str">
        <x:v>Damage claim na may existing court summons</x:v>
      </x:c>
      <x:c r="Q41" s="13" t="str">
        <x:v>Added to balance 'already-filed-in-court' to 49 examples using the same Justice KP label schema.</x:v>
      </x:c>
      <x:c r="R41" s="13" t="str">
        <x:v>Synthetic row based on category coverage gap from uploaded PDF</x:v>
      </x:c>
    </x:row>
    <x:row r="42" ht="36" customHeight="1">
      <x:c r="A42" s="13" t="str">
        <x:v>SYN-COURT-041</x:v>
      </x:c>
      <x:c r="B42" s="13" t="str">
        <x:v>already-filed-in-court</x:v>
      </x:c>
      <x:c r="C42" s="13" t="str">
        <x:v>Synthetic</x:v>
      </x:c>
      <x:c r="D42" s="13" t="str"/>
      <x:c r="E42" s="13" t="str">
        <x:v>Disqualified</x:v>
      </x:c>
      <x:c r="F42" s="13" t="str">
        <x:v>Utang na may pending small claims case sa korte</x:v>
      </x:c>
      <x:c r="G42" s="13" t="str">
        <x:v>May 11, 2026</x:v>
      </x:c>
      <x:c r="H42" s="13" t="str">
        <x:v>-</x:v>
      </x:c>
      <x:c r="I42" s="13" t="str">
        <x:v>Synthetic example: complaint indicates an existing court/prosecutor filing; barangay should not mediate as new KP case.</x:v>
      </x:c>
      <x:c r="J42" s="13" t="str">
        <x:v>Refer</x:v>
      </x:c>
      <x:c r="K42" s="13" t="str">
        <x:v>NON_KP_REFERRAL</x:v>
      </x:c>
      <x:c r="L42" s="13" t="str">
        <x:v>Not KP; already filed in court/prosecutor</x:v>
      </x:c>
      <x:c r="M42" s="13" t="str">
        <x:v>Do not docket as new KP mediation; note existing case and refer to court/prosecutor process</x:v>
      </x:c>
      <x:c r="N42" s="13" t="str">
        <x:v>Matter already filed in court/prosecutor is outside barangay conciliation.</x:v>
      </x:c>
      <x:c r="O42" s="13" t="str"/>
      <x:c r="P42" s="13" t="str">
        <x:v>Utang na may pending small claims case sa korte</x:v>
      </x:c>
      <x:c r="Q42" s="13" t="str">
        <x:v>Added to balance 'already-filed-in-court' to 49 examples using the same Justice KP label schema.</x:v>
      </x:c>
      <x:c r="R42" s="13" t="str">
        <x:v>Synthetic row based on category coverage gap from uploaded PDF</x:v>
      </x:c>
    </x:row>
    <x:row r="43" ht="36" customHeight="1">
      <x:c r="A43" s="13" t="str">
        <x:v>SYN-COURT-042</x:v>
      </x:c>
      <x:c r="B43" s="13" t="str">
        <x:v>already-filed-in-court</x:v>
      </x:c>
      <x:c r="C43" s="13" t="str">
        <x:v>Synthetic</x:v>
      </x:c>
      <x:c r="D43" s="13" t="str"/>
      <x:c r="E43" s="13" t="str">
        <x:v>Disqualified</x:v>
      </x:c>
      <x:c r="F43" s="13" t="str">
        <x:v>Alitan sa lupa na naihain na sa RTC</x:v>
      </x:c>
      <x:c r="G43" s="13" t="str">
        <x:v>May 14, 2026</x:v>
      </x:c>
      <x:c r="H43" s="13" t="str">
        <x:v>-</x:v>
      </x:c>
      <x:c r="I43" s="13" t="str">
        <x:v>Synthetic example: complaint indicates an existing court/prosecutor filing; barangay should not mediate as new KP case.</x:v>
      </x:c>
      <x:c r="J43" s="13" t="str">
        <x:v>Refer</x:v>
      </x:c>
      <x:c r="K43" s="13" t="str">
        <x:v>NON_KP_REFERRAL</x:v>
      </x:c>
      <x:c r="L43" s="13" t="str">
        <x:v>Not KP; already filed in court/prosecutor</x:v>
      </x:c>
      <x:c r="M43" s="13" t="str">
        <x:v>Do not docket as new KP mediation; note existing case and refer to court/prosecutor process</x:v>
      </x:c>
      <x:c r="N43" s="13" t="str">
        <x:v>Matter already filed in court/prosecutor is outside barangay conciliation.</x:v>
      </x:c>
      <x:c r="O43" s="13" t="str"/>
      <x:c r="P43" s="13" t="str">
        <x:v>Alitan sa lupa na naihain na sa RTC</x:v>
      </x:c>
      <x:c r="Q43" s="13" t="str">
        <x:v>Added to balance 'already-filed-in-court' to 49 examples using the same Justice KP label schema.</x:v>
      </x:c>
      <x:c r="R43" s="13" t="str">
        <x:v>Synthetic row based on category coverage gap from uploaded PDF</x:v>
      </x:c>
    </x:row>
    <x:row r="44" ht="36" customHeight="1">
      <x:c r="A44" s="13" t="str">
        <x:v>SYN-COURT-043</x:v>
      </x:c>
      <x:c r="B44" s="13" t="str">
        <x:v>already-filed-in-court</x:v>
      </x:c>
      <x:c r="C44" s="13" t="str">
        <x:v>Synthetic</x:v>
      </x:c>
      <x:c r="D44" s="13" t="str"/>
      <x:c r="E44" s="13" t="str">
        <x:v>Disqualified</x:v>
      </x:c>
      <x:c r="F44" s="13" t="str">
        <x:v>Pananakit na may criminal complaint na sa prosecutor</x:v>
      </x:c>
      <x:c r="G44" s="13" t="str">
        <x:v>May 17, 2026</x:v>
      </x:c>
      <x:c r="H44" s="13" t="str">
        <x:v>-</x:v>
      </x:c>
      <x:c r="I44" s="13" t="str">
        <x:v>Synthetic example: complaint indicates an existing court/prosecutor filing; barangay should not mediate as new KP case.</x:v>
      </x:c>
      <x:c r="J44" s="13" t="str">
        <x:v>Refer</x:v>
      </x:c>
      <x:c r="K44" s="13" t="str">
        <x:v>NON_KP_REFERRAL</x:v>
      </x:c>
      <x:c r="L44" s="13" t="str">
        <x:v>Not KP; already filed in court/prosecutor</x:v>
      </x:c>
      <x:c r="M44" s="13" t="str">
        <x:v>Do not docket as new KP mediation; note existing case and refer to court/prosecutor process</x:v>
      </x:c>
      <x:c r="N44" s="13" t="str">
        <x:v>Matter already filed in court/prosecutor is outside barangay conciliation.</x:v>
      </x:c>
      <x:c r="O44" s="13" t="str"/>
      <x:c r="P44" s="13" t="str">
        <x:v>Pananakit na may criminal complaint na sa prosecutor</x:v>
      </x:c>
      <x:c r="Q44" s="13" t="str">
        <x:v>Added to balance 'already-filed-in-court' to 49 examples using the same Justice KP label schema.</x:v>
      </x:c>
      <x:c r="R44" s="13" t="str">
        <x:v>Synthetic row based on category coverage gap from uploaded PDF</x:v>
      </x:c>
    </x:row>
    <x:row r="45" ht="36" customHeight="1">
      <x:c r="A45" s="13" t="str">
        <x:v>SYN-COURT-044</x:v>
      </x:c>
      <x:c r="B45" s="13" t="str">
        <x:v>already-filed-in-court</x:v>
      </x:c>
      <x:c r="C45" s="13" t="str">
        <x:v>Synthetic</x:v>
      </x:c>
      <x:c r="D45" s="13" t="str"/>
      <x:c r="E45" s="13" t="str">
        <x:v>Disqualified</x:v>
      </x:c>
      <x:c r="F45" s="13" t="str">
        <x:v>Boundary dispute na may nakabinbing civil case</x:v>
      </x:c>
      <x:c r="G45" s="13" t="str">
        <x:v>May 20, 2026</x:v>
      </x:c>
      <x:c r="H45" s="13" t="str">
        <x:v>-</x:v>
      </x:c>
      <x:c r="I45" s="13" t="str">
        <x:v>Synthetic example: complaint indicates an existing court/prosecutor filing; barangay should not mediate as new KP case.</x:v>
      </x:c>
      <x:c r="J45" s="13" t="str">
        <x:v>Refer</x:v>
      </x:c>
      <x:c r="K45" s="13" t="str">
        <x:v>NON_KP_REFERRAL</x:v>
      </x:c>
      <x:c r="L45" s="13" t="str">
        <x:v>Not KP; already filed in court/prosecutor</x:v>
      </x:c>
      <x:c r="M45" s="13" t="str">
        <x:v>Do not docket as new KP mediation; note existing case and refer to court/prosecutor process</x:v>
      </x:c>
      <x:c r="N45" s="13" t="str">
        <x:v>Matter already filed in court/prosecutor is outside barangay conciliation.</x:v>
      </x:c>
      <x:c r="O45" s="13" t="str"/>
      <x:c r="P45" s="13" t="str">
        <x:v>Boundary dispute na may nakabinbing civil case</x:v>
      </x:c>
      <x:c r="Q45" s="13" t="str">
        <x:v>Added to balance 'already-filed-in-court' to 49 examples using the same Justice KP label schema.</x:v>
      </x:c>
      <x:c r="R45" s="13" t="str">
        <x:v>Synthetic row based on category coverage gap from uploaded PDF</x:v>
      </x:c>
    </x:row>
    <x:row r="46" ht="36" customHeight="1">
      <x:c r="A46" s="13" t="str">
        <x:v>SYN-COURT-045</x:v>
      </x:c>
      <x:c r="B46" s="13" t="str">
        <x:v>already-filed-in-court</x:v>
      </x:c>
      <x:c r="C46" s="13" t="str">
        <x:v>Synthetic</x:v>
      </x:c>
      <x:c r="D46" s="13" t="str"/>
      <x:c r="E46" s="13" t="str">
        <x:v>Disqualified</x:v>
      </x:c>
      <x:c r="F46" s="13" t="str">
        <x:v>Threat complaint na may docket number na sa korte</x:v>
      </x:c>
      <x:c r="G46" s="13" t="str">
        <x:v>May 23, 2026</x:v>
      </x:c>
      <x:c r="H46" s="13" t="str">
        <x:v>-</x:v>
      </x:c>
      <x:c r="I46" s="13" t="str">
        <x:v>Synthetic example: complaint indicates an existing court/prosecutor filing; barangay should not mediate as new KP case.</x:v>
      </x:c>
      <x:c r="J46" s="13" t="str">
        <x:v>Refer</x:v>
      </x:c>
      <x:c r="K46" s="13" t="str">
        <x:v>NON_KP_REFERRAL</x:v>
      </x:c>
      <x:c r="L46" s="13" t="str">
        <x:v>Not KP; already filed in court/prosecutor</x:v>
      </x:c>
      <x:c r="M46" s="13" t="str">
        <x:v>Do not docket as new KP mediation; note existing case and refer to court/prosecutor process</x:v>
      </x:c>
      <x:c r="N46" s="13" t="str">
        <x:v>Matter already filed in court/prosecutor is outside barangay conciliation.</x:v>
      </x:c>
      <x:c r="O46" s="13" t="str"/>
      <x:c r="P46" s="13" t="str">
        <x:v>Threat complaint na may docket number na sa korte</x:v>
      </x:c>
      <x:c r="Q46" s="13" t="str">
        <x:v>Added to balance 'already-filed-in-court' to 49 examples using the same Justice KP label schema.</x:v>
      </x:c>
      <x:c r="R46" s="13" t="str">
        <x:v>Synthetic row based on category coverage gap from uploaded PDF</x:v>
      </x:c>
    </x:row>
    <x:row r="47" ht="36" customHeight="1">
      <x:c r="A47" s="13" t="str">
        <x:v>SYN-COURT-046</x:v>
      </x:c>
      <x:c r="B47" s="13" t="str">
        <x:v>already-filed-in-court</x:v>
      </x:c>
      <x:c r="C47" s="13" t="str">
        <x:v>Synthetic</x:v>
      </x:c>
      <x:c r="D47" s="13" t="str"/>
      <x:c r="E47" s="13" t="str">
        <x:v>Disqualified</x:v>
      </x:c>
      <x:c r="F47" s="13" t="str">
        <x:v>Renta dispute na nasa small claims na</x:v>
      </x:c>
      <x:c r="G47" s="13" t="str">
        <x:v>May 26, 2026</x:v>
      </x:c>
      <x:c r="H47" s="13" t="str">
        <x:v>-</x:v>
      </x:c>
      <x:c r="I47" s="13" t="str">
        <x:v>Synthetic example: complaint indicates an existing court/prosecutor filing; barangay should not mediate as new KP case.</x:v>
      </x:c>
      <x:c r="J47" s="13" t="str">
        <x:v>Refer</x:v>
      </x:c>
      <x:c r="K47" s="13" t="str">
        <x:v>NON_KP_REFERRAL</x:v>
      </x:c>
      <x:c r="L47" s="13" t="str">
        <x:v>Not KP; already filed in court/prosecutor</x:v>
      </x:c>
      <x:c r="M47" s="13" t="str">
        <x:v>Do not docket as new KP mediation; note existing case and refer to court/prosecutor process</x:v>
      </x:c>
      <x:c r="N47" s="13" t="str">
        <x:v>Matter already filed in court/prosecutor is outside barangay conciliation.</x:v>
      </x:c>
      <x:c r="O47" s="13" t="str"/>
      <x:c r="P47" s="13" t="str">
        <x:v>Renta dispute na nasa small claims na</x:v>
      </x:c>
      <x:c r="Q47" s="13" t="str">
        <x:v>Added to balance 'already-filed-in-court' to 49 examples using the same Justice KP label schema.</x:v>
      </x:c>
      <x:c r="R47" s="13" t="str">
        <x:v>Synthetic row based on category coverage gap from uploaded PDF</x:v>
      </x:c>
    </x:row>
    <x:row r="48" ht="36" customHeight="1">
      <x:c r="A48" s="13" t="str">
        <x:v>SYN-COURT-047</x:v>
      </x:c>
      <x:c r="B48" s="13" t="str">
        <x:v>already-filed-in-court</x:v>
      </x:c>
      <x:c r="C48" s="13" t="str">
        <x:v>Synthetic</x:v>
      </x:c>
      <x:c r="D48" s="13" t="str"/>
      <x:c r="E48" s="13" t="str">
        <x:v>Disqualified</x:v>
      </x:c>
      <x:c r="F48" s="13" t="str">
        <x:v>Property dispute na may pending injunction case</x:v>
      </x:c>
      <x:c r="G48" s="13" t="str">
        <x:v>May 29, 2026</x:v>
      </x:c>
      <x:c r="H48" s="13" t="str">
        <x:v>-</x:v>
      </x:c>
      <x:c r="I48" s="13" t="str">
        <x:v>Synthetic example: complaint indicates an existing court/prosecutor filing; barangay should not mediate as new KP case.</x:v>
      </x:c>
      <x:c r="J48" s="13" t="str">
        <x:v>Refer</x:v>
      </x:c>
      <x:c r="K48" s="13" t="str">
        <x:v>NON_KP_REFERRAL</x:v>
      </x:c>
      <x:c r="L48" s="13" t="str">
        <x:v>Not KP; already filed in court/prosecutor</x:v>
      </x:c>
      <x:c r="M48" s="13" t="str">
        <x:v>Do not docket as new KP mediation; note existing case and refer to court/prosecutor process</x:v>
      </x:c>
      <x:c r="N48" s="13" t="str">
        <x:v>Matter already filed in court/prosecutor is outside barangay conciliation.</x:v>
      </x:c>
      <x:c r="O48" s="13" t="str"/>
      <x:c r="P48" s="13" t="str">
        <x:v>Property dispute na may pending injunction case</x:v>
      </x:c>
      <x:c r="Q48" s="13" t="str">
        <x:v>Added to balance 'already-filed-in-court' to 49 examples using the same Justice KP label schema.</x:v>
      </x:c>
      <x:c r="R48" s="13" t="str">
        <x:v>Synthetic row based on category coverage gap from uploaded PDF</x:v>
      </x:c>
    </x:row>
    <x:row r="49" ht="36" customHeight="1">
      <x:c r="A49" s="13" t="str">
        <x:v>SYN-COURT-048</x:v>
      </x:c>
      <x:c r="B49" s="13" t="str">
        <x:v>already-filed-in-court</x:v>
      </x:c>
      <x:c r="C49" s="13" t="str">
        <x:v>Synthetic</x:v>
      </x:c>
      <x:c r="D49" s="13" t="str"/>
      <x:c r="E49" s="13" t="str">
        <x:v>Disqualified</x:v>
      </x:c>
      <x:c r="F49" s="13" t="str">
        <x:v>Defamation complaint na na-file na sa prosecutor</x:v>
      </x:c>
      <x:c r="G49" s="13" t="str">
        <x:v>June 1, 2026</x:v>
      </x:c>
      <x:c r="H49" s="13" t="str">
        <x:v>-</x:v>
      </x:c>
      <x:c r="I49" s="13" t="str">
        <x:v>Synthetic example: complaint indicates an existing court/prosecutor filing; barangay should not mediate as new KP case.</x:v>
      </x:c>
      <x:c r="J49" s="13" t="str">
        <x:v>Refer</x:v>
      </x:c>
      <x:c r="K49" s="13" t="str">
        <x:v>NON_KP_REFERRAL</x:v>
      </x:c>
      <x:c r="L49" s="13" t="str">
        <x:v>Not KP; already filed in court/prosecutor</x:v>
      </x:c>
      <x:c r="M49" s="13" t="str">
        <x:v>Do not docket as new KP mediation; note existing case and refer to court/prosecutor process</x:v>
      </x:c>
      <x:c r="N49" s="13" t="str">
        <x:v>Matter already filed in court/prosecutor is outside barangay conciliation.</x:v>
      </x:c>
      <x:c r="O49" s="13" t="str"/>
      <x:c r="P49" s="13" t="str">
        <x:v>Defamation complaint na na-file na sa prosecutor</x:v>
      </x:c>
      <x:c r="Q49" s="13" t="str">
        <x:v>Added to balance 'already-filed-in-court' to 49 examples using the same Justice KP label schema.</x:v>
      </x:c>
      <x:c r="R49" s="13" t="str">
        <x:v>Synthetic row based on category coverage gap from uploaded PDF</x:v>
      </x:c>
    </x:row>
    <x:row r="50" ht="36" customHeight="1">
      <x:c r="A50" s="13" t="str">
        <x:v>SYN-COURT-049</x:v>
      </x:c>
      <x:c r="B50" s="13" t="str">
        <x:v>already-filed-in-court</x:v>
      </x:c>
      <x:c r="C50" s="13" t="str">
        <x:v>Synthetic</x:v>
      </x:c>
      <x:c r="D50" s="13" t="str"/>
      <x:c r="E50" s="13" t="str">
        <x:v>Disqualified</x:v>
      </x:c>
      <x:c r="F50" s="13" t="str">
        <x:v>Collection case na may scheduled court hearing</x:v>
      </x:c>
      <x:c r="G50" s="13" t="str">
        <x:v>June 4, 2026</x:v>
      </x:c>
      <x:c r="H50" s="13" t="str">
        <x:v>-</x:v>
      </x:c>
      <x:c r="I50" s="13" t="str">
        <x:v>Synthetic example: complaint indicates an existing court/prosecutor filing; barangay should not mediate as new KP case.</x:v>
      </x:c>
      <x:c r="J50" s="13" t="str">
        <x:v>Refer</x:v>
      </x:c>
      <x:c r="K50" s="13" t="str">
        <x:v>NON_KP_REFERRAL</x:v>
      </x:c>
      <x:c r="L50" s="13" t="str">
        <x:v>Not KP; already filed in court/prosecutor</x:v>
      </x:c>
      <x:c r="M50" s="13" t="str">
        <x:v>Do not docket as new KP mediation; note existing case and refer to court/prosecutor process</x:v>
      </x:c>
      <x:c r="N50" s="13" t="str">
        <x:v>Matter already filed in court/prosecutor is outside barangay conciliation.</x:v>
      </x:c>
      <x:c r="O50" s="13" t="str"/>
      <x:c r="P50" s="13" t="str">
        <x:v>Collection case na may scheduled court hearing</x:v>
      </x:c>
      <x:c r="Q50" s="13" t="str">
        <x:v>Added to balance 'already-filed-in-court' to 49 examples using the same Justice KP label schema.</x:v>
      </x:c>
      <x:c r="R50" s="13" t="str">
        <x:v>Synthetic row based on category coverage gap from uploaded PDF</x:v>
      </x:c>
    </x:row>
  </x:sheetData>
  <x:pageMargins left="0.7" right="0.7" top="0.75" bottom="0.75" header="0.3" footer="0.3"/>
  <x:tableParts count="1">
    <x:tablePart xmlns:r="http://schemas.openxmlformats.org/officeDocument/2006/relationships" r:id="Rbcd3f81667a54f84"/>
  </x:tableParts>
</x:worksheet>
</file>

<file path=xl/worksheets/sheet14.xml><?xml version="1.0" encoding="utf-8"?>
<x:worksheet xmlns:x="http://schemas.openxmlformats.org/spreadsheetml/2006/main">
  <x:sheetFormatPr defaultRowHeight="15"/>
  <x:cols>
    <x:col min="1" max="1" width="18" hidden="0" customWidth="1"/>
    <x:col min="2" max="2" width="22" hidden="0" customWidth="1"/>
    <x:col min="3" max="3" width="13" hidden="0" customWidth="1"/>
    <x:col min="4" max="4" width="18" hidden="0" customWidth="1"/>
    <x:col min="5" max="5" width="18" hidden="0" customWidth="1"/>
    <x:col min="6" max="6" width="38" hidden="0" customWidth="1"/>
    <x:col min="7" max="7" width="17" hidden="0" customWidth="1"/>
    <x:col min="9" max="9" width="55" hidden="0" customWidth="1"/>
    <x:col min="11" max="11" width="24" hidden="0" customWidth="1"/>
    <x:col min="12" max="12" width="32" hidden="0" customWidth="1"/>
    <x:col min="13" max="13" width="42" hidden="0" customWidth="1"/>
    <x:col min="14" max="14" width="50" hidden="0" customWidth="1"/>
    <x:col min="17" max="17" width="50" hidden="0" customWidth="1"/>
    <x:col min="18" max="18" width="35" hidden="0" customWidth="1"/>
  </x:cols>
  <x:sheetData>
    <x:row r="1" ht="42" customHeight="1">
      <x:c r="A1" s="6" t="str">
        <x:v>case_id</x:v>
      </x:c>
      <x:c r="B1" s="6" t="str">
        <x:v>case_type</x:v>
      </x:c>
      <x:c r="C1" s="6" t="str">
        <x:v>source_type</x:v>
      </x:c>
      <x:c r="D1" s="6" t="str">
        <x:v>source_pdf_case_id</x:v>
      </x:c>
      <x:c r="E1" s="6" t="str">
        <x:v>original_dispute_category</x:v>
      </x:c>
      <x:c r="F1" s="6" t="str">
        <x:v>original_nature</x:v>
      </x:c>
      <x:c r="G1" s="6" t="str">
        <x:v>date_filed</x:v>
      </x:c>
      <x:c r="H1" s="6" t="str">
        <x:v>date_of_settlement_or_award</x:v>
      </x:c>
      <x:c r="I1" s="6" t="str">
        <x:v>conversation_status</x:v>
      </x:c>
      <x:c r="J1" s="6" t="str">
        <x:v>action_taken</x:v>
      </x:c>
      <x:c r="K1" s="6" t="str">
        <x:v>justice_kp_label</x:v>
      </x:c>
      <x:c r="L1" s="6" t="str">
        <x:v>kp_eligibility</x:v>
      </x:c>
      <x:c r="M1" s="6" t="str">
        <x:v>recommended_system_action</x:v>
      </x:c>
      <x:c r="N1" s="6" t="str">
        <x:v>label_reason</x:v>
      </x:c>
      <x:c r="O1" s="6" t="str">
        <x:v>amount_or_penalty_reference</x:v>
      </x:c>
      <x:c r="P1" s="6" t="str">
        <x:v>evidence_of_type</x:v>
      </x:c>
      <x:c r="Q1" s="6" t="str">
        <x:v>synthetic_generation_note</x:v>
      </x:c>
      <x:c r="R1" s="6" t="str">
        <x:v>source_file</x:v>
      </x:c>
    </x:row>
    <x:row r="2" ht="36" customHeight="1">
      <x:c r="A2" s="13" t="str">
        <x:v>KP-25-005-PSWT</x:v>
      </x:c>
      <x:c r="B2" s="13" t="str">
        <x:v>penalty-over-1-year</x:v>
      </x:c>
      <x:c r="C2" s="13" t="str">
        <x:v>Real PDF</x:v>
      </x:c>
      <x:c r="D2" s="13" t="str">
        <x:v>KP-25-005-PSWT</x:v>
      </x:c>
      <x:c r="E2" s="13" t="str">
        <x:v>Criminal</x:v>
      </x:c>
      <x:c r="F2" s="13" t="str">
        <x:v>Pagnanakaw ng panabong na manok</x:v>
      </x:c>
      <x:c r="G2" s="13" t="str">
        <x:v>January 6, 2025</x:v>
      </x:c>
      <x:c r="H2" s="13" t="str">
        <x:v>-</x:v>
      </x:c>
      <x:c r="I2" s="13" t="str">
        <x:v>Walang paghaharap na nangyari at hindi dumating ang ipinagsumbong</x:v>
      </x:c>
      <x:c r="J2" s="13" t="str">
        <x:v>Endorsed</x:v>
      </x:c>
      <x:c r="K2" s="13" t="str">
        <x:v>NON_KP_REFERRAL</x:v>
      </x:c>
      <x:c r="L2" s="13" t="str">
        <x:v>Not KP due to legal threshold or serious offense</x:v>
      </x:c>
      <x:c r="M2" s="13" t="str">
        <x:v>Refer to PNP/prosecutor/court or proper agency</x:v>
      </x:c>
      <x:c r="N2" s="13" t="str">
        <x:v>Nature suggests offense that may exceed KP penalty threshold or requires prosecutor/police/legal review.</x:v>
      </x:c>
      <x:c r="O2" s="13" t="str"/>
      <x:c r="P2" s="13" t="str">
        <x:v>Pagnanakaw ng panabong na manok</x:v>
      </x:c>
      <x:c r="Q2" s="13" t="str"/>
      <x:c r="R2" s="13" t="str">
        <x:v>KP CASE PSWT - Sheet1 - KP CASE PSWT - Sheet1.pdf</x:v>
      </x:c>
    </x:row>
    <x:row r="3" ht="36" customHeight="1">
      <x:c r="A3" s="13" t="str">
        <x:v>KP-25-006-PSWT</x:v>
      </x:c>
      <x:c r="B3" s="13" t="str">
        <x:v>penalty-over-1-year</x:v>
      </x:c>
      <x:c r="C3" s="13" t="str">
        <x:v>Real PDF</x:v>
      </x:c>
      <x:c r="D3" s="13" t="str">
        <x:v>KP-25-006-PSWT</x:v>
      </x:c>
      <x:c r="E3" s="13" t="str">
        <x:v>Criminal</x:v>
      </x:c>
      <x:c r="F3" s="13" t="str">
        <x:v>Pagnanakaw ng panabong na manok</x:v>
      </x:c>
      <x:c r="G3" s="13" t="str">
        <x:v>January 6, 2025</x:v>
      </x:c>
      <x:c r="H3" s="13" t="str">
        <x:v>-</x:v>
      </x:c>
      <x:c r="I3" s="13" t="str">
        <x:v>Walang paghaharap na nangyari at hindi dumating ang ipinagsumbong</x:v>
      </x:c>
      <x:c r="J3" s="13" t="str">
        <x:v>Endorsed</x:v>
      </x:c>
      <x:c r="K3" s="13" t="str">
        <x:v>NON_KP_REFERRAL</x:v>
      </x:c>
      <x:c r="L3" s="13" t="str">
        <x:v>Not KP due to legal threshold or serious offense</x:v>
      </x:c>
      <x:c r="M3" s="13" t="str">
        <x:v>Refer to PNP/prosecutor/court or proper agency</x:v>
      </x:c>
      <x:c r="N3" s="13" t="str">
        <x:v>Nature suggests offense that may exceed KP penalty threshold or requires prosecutor/police/legal review.</x:v>
      </x:c>
      <x:c r="O3" s="13" t="str"/>
      <x:c r="P3" s="13" t="str">
        <x:v>Pagnanakaw ng panabong na manok</x:v>
      </x:c>
      <x:c r="Q3" s="13" t="str"/>
      <x:c r="R3" s="13" t="str">
        <x:v>KP CASE PSWT - Sheet1 - KP CASE PSWT - Sheet1.pdf</x:v>
      </x:c>
    </x:row>
    <x:row r="4" ht="36" customHeight="1">
      <x:c r="A4" s="13" t="str">
        <x:v>KP-25-016-PSWT</x:v>
      </x:c>
      <x:c r="B4" s="13" t="str">
        <x:v>penalty-over-1-year</x:v>
      </x:c>
      <x:c r="C4" s="13" t="str">
        <x:v>Real PDF</x:v>
      </x:c>
      <x:c r="D4" s="13" t="str">
        <x:v>KP-25-016-PSWT</x:v>
      </x:c>
      <x:c r="E4" s="13" t="str">
        <x:v>Criminal</x:v>
      </x:c>
      <x:c r="F4" s="13" t="str">
        <x:v>Pananaga ng itak</x:v>
      </x:c>
      <x:c r="G4" s="13" t="str">
        <x:v>February 2, 2025</x:v>
      </x:c>
      <x:c r="H4" s="13" t="str">
        <x:v>-</x:v>
      </x:c>
      <x:c r="I4" s="13" t="str">
        <x:v>Nagkaroon ng paghaharap subalit walang pagkakasundo. At ang maysumbong ay hindi na bumalik.</x:v>
      </x:c>
      <x:c r="J4" s="13" t="str">
        <x:v>Dismiss</x:v>
      </x:c>
      <x:c r="K4" s="13" t="str">
        <x:v>NON_KP_REFERRAL</x:v>
      </x:c>
      <x:c r="L4" s="13" t="str">
        <x:v>Not KP due to legal threshold or serious offense</x:v>
      </x:c>
      <x:c r="M4" s="13" t="str">
        <x:v>Refer to PNP/prosecutor/court or proper agency</x:v>
      </x:c>
      <x:c r="N4" s="13" t="str">
        <x:v>Nature suggests offense that may exceed KP penalty threshold or requires prosecutor/police/legal review.</x:v>
      </x:c>
      <x:c r="O4" s="13" t="str"/>
      <x:c r="P4" s="13" t="str">
        <x:v>Pananaga ng itak</x:v>
      </x:c>
      <x:c r="Q4" s="13" t="str"/>
      <x:c r="R4" s="13" t="str">
        <x:v>KP CASE PSWT - Sheet1 - KP CASE PSWT - Sheet1.pdf</x:v>
      </x:c>
    </x:row>
    <x:row r="5" ht="36" customHeight="1">
      <x:c r="A5" s="13" t="str">
        <x:v>KP-25-024-PSWT</x:v>
      </x:c>
      <x:c r="B5" s="13" t="str">
        <x:v>penalty-over-1-year</x:v>
      </x:c>
      <x:c r="C5" s="13" t="str">
        <x:v>Real PDF</x:v>
      </x:c>
      <x:c r="D5" s="13" t="str">
        <x:v>KP-25-024-PSWT</x:v>
      </x:c>
      <x:c r="E5" s="13" t="str">
        <x:v>Criminal</x:v>
      </x:c>
      <x:c r="F5" s="13" t="str">
        <x:v>Binunutan ng ice pick</x:v>
      </x:c>
      <x:c r="G5" s="13" t="str">
        <x:v>March 4, 2025</x:v>
      </x:c>
      <x:c r="H5" s="13" t="str">
        <x:v>March 7, 2025</x:v>
      </x:c>
      <x:c r="I5" s="13" t="str">
        <x:v>Nagkaroon ng pagkakasundo humingi ng pasensya ang bawat isa sa nangyari.</x:v>
      </x:c>
      <x:c r="J5" s="13" t="str">
        <x:v>Settled</x:v>
      </x:c>
      <x:c r="K5" s="13" t="str">
        <x:v>NON_KP_REFERRAL</x:v>
      </x:c>
      <x:c r="L5" s="13" t="str">
        <x:v>Not KP due to legal threshold or serious offense</x:v>
      </x:c>
      <x:c r="M5" s="13" t="str">
        <x:v>Refer to PNP/prosecutor/court or proper agency</x:v>
      </x:c>
      <x:c r="N5" s="13" t="str">
        <x:v>Nature suggests offense that may exceed KP penalty threshold or requires prosecutor/police/legal review.</x:v>
      </x:c>
      <x:c r="O5" s="13" t="str"/>
      <x:c r="P5" s="13" t="str">
        <x:v>Binunutan ng ice pick</x:v>
      </x:c>
      <x:c r="Q5" s="13" t="str"/>
      <x:c r="R5" s="13" t="str">
        <x:v>KP CASE PSWT - Sheet1 - KP CASE PSWT - Sheet1.pdf</x:v>
      </x:c>
    </x:row>
    <x:row r="6" ht="36" customHeight="1">
      <x:c r="A6" s="13" t="str">
        <x:v>KP-25-032-PSWT</x:v>
      </x:c>
      <x:c r="B6" s="13" t="str">
        <x:v>penalty-over-1-year</x:v>
      </x:c>
      <x:c r="C6" s="13" t="str">
        <x:v>Real PDF</x:v>
      </x:c>
      <x:c r="D6" s="13" t="str">
        <x:v>KP-25-032-PSWT</x:v>
      </x:c>
      <x:c r="E6" s="13" t="str">
        <x:v>Criminal</x:v>
      </x:c>
      <x:c r="F6" s="13" t="str">
        <x:v>Pamamasok ng bahay at pagkuha ng halagang P37,000</x:v>
      </x:c>
      <x:c r="G6" s="13" t="str">
        <x:v>March 24, 2025</x:v>
      </x:c>
      <x:c r="H6" s="13" t="str">
        <x:v>-</x:v>
      </x:c>
      <x:c r="I6" s="13" t="str">
        <x:v>Hindi magkausap ng maayos sa dahilang pabago-bago ng sinasabi ang maysumbong.</x:v>
      </x:c>
      <x:c r="J6" s="13" t="str">
        <x:v>Pending</x:v>
      </x:c>
      <x:c r="K6" s="13" t="str">
        <x:v>NON_KP_REFERRAL</x:v>
      </x:c>
      <x:c r="L6" s="13" t="str">
        <x:v>Not KP due to legal threshold or serious offense</x:v>
      </x:c>
      <x:c r="M6" s="13" t="str">
        <x:v>Refer to PNP/prosecutor/court or proper agency</x:v>
      </x:c>
      <x:c r="N6" s="13" t="str">
        <x:v>Nature suggests offense that may exceed KP penalty threshold or requires prosecutor/police/legal review.</x:v>
      </x:c>
      <x:c r="O6" s="13" t="str">
        <x:v>P37,000</x:v>
      </x:c>
      <x:c r="P6" s="13" t="str">
        <x:v>Pamamasok ng bahay at pagkuha ng halagang P37,000</x:v>
      </x:c>
      <x:c r="Q6" s="13" t="str"/>
      <x:c r="R6" s="13" t="str">
        <x:v>KP CASE PSWT - Sheet1 - KP CASE PSWT - Sheet1.pdf</x:v>
      </x:c>
    </x:row>
    <x:row r="7" ht="36" customHeight="1">
      <x:c r="A7" s="13" t="str">
        <x:v>KP-25-034-PSWT</x:v>
      </x:c>
      <x:c r="B7" s="13" t="str">
        <x:v>penalty-over-1-year</x:v>
      </x:c>
      <x:c r="C7" s="13" t="str">
        <x:v>Real PDF</x:v>
      </x:c>
      <x:c r="D7" s="13" t="str">
        <x:v>KP-25-034-PSWT</x:v>
      </x:c>
      <x:c r="E7" s="13" t="str">
        <x:v>Criminal</x:v>
      </x:c>
      <x:c r="F7" s="13" t="str">
        <x:v>Pamamasok sa loob ng bahay</x:v>
      </x:c>
      <x:c r="G7" s="13" t="str">
        <x:v>March 28, 2025</x:v>
      </x:c>
      <x:c r="H7" s="13" t="str">
        <x:v>June 2, 2025</x:v>
      </x:c>
      <x:c r="I7" s="13" t="str">
        <x:v>Nagkaroon ng pagkakasundo na magbibigay ng danyos ang ipinagsumbong ng halagang P5, 000. At pakiusap ng maysumbong na huwag ng pupunta sa bahay nila.</x:v>
      </x:c>
      <x:c r="J7" s="13" t="str">
        <x:v>Settled</x:v>
      </x:c>
      <x:c r="K7" s="13" t="str">
        <x:v>NON_KP_REFERRAL</x:v>
      </x:c>
      <x:c r="L7" s="13" t="str">
        <x:v>Not KP due to legal threshold or serious offense</x:v>
      </x:c>
      <x:c r="M7" s="13" t="str">
        <x:v>Refer to PNP/prosecutor/court or proper agency</x:v>
      </x:c>
      <x:c r="N7" s="13" t="str">
        <x:v>Nature suggests offense that may exceed KP penalty threshold or requires prosecutor/police/legal review.</x:v>
      </x:c>
      <x:c r="O7" s="13" t="str">
        <x:v>P5,</x:v>
      </x:c>
      <x:c r="P7" s="13" t="str">
        <x:v>Pamamasok sa loob ng bahay</x:v>
      </x:c>
      <x:c r="Q7" s="13" t="str"/>
      <x:c r="R7" s="13" t="str">
        <x:v>KP CASE PSWT - Sheet1 - KP CASE PSWT - Sheet1.pdf</x:v>
      </x:c>
    </x:row>
    <x:row r="8" ht="36" customHeight="1">
      <x:c r="A8" s="13" t="str">
        <x:v>KP-25-038-PSWT</x:v>
      </x:c>
      <x:c r="B8" s="13" t="str">
        <x:v>penalty-over-1-year</x:v>
      </x:c>
      <x:c r="C8" s="13" t="str">
        <x:v>Real PDF</x:v>
      </x:c>
      <x:c r="D8" s="13" t="str">
        <x:v>KP-25-038-PSWT</x:v>
      </x:c>
      <x:c r="E8" s="13" t="str">
        <x:v>Criminal</x:v>
      </x:c>
      <x:c r="F8" s="13" t="str">
        <x:v>Estafa</x:v>
      </x:c>
      <x:c r="G8" s="13" t="str">
        <x:v>April 29, 2025</x:v>
      </x:c>
      <x:c r="H8" s="13" t="str">
        <x:v>-</x:v>
      </x:c>
      <x:c r="I8" s="13" t="str">
        <x:v>Walang pagkakasundo sa dalawang panig kaya't ang maysumbong ay may karapatan ng maghain ng kaukulang reklamo sa kinauukulang tanggapan.</x:v>
      </x:c>
      <x:c r="J8" s="13" t="str">
        <x:v>Endorsed</x:v>
      </x:c>
      <x:c r="K8" s="13" t="str">
        <x:v>NON_KP_REFERRAL</x:v>
      </x:c>
      <x:c r="L8" s="13" t="str">
        <x:v>Not KP due to legal threshold or serious offense</x:v>
      </x:c>
      <x:c r="M8" s="13" t="str">
        <x:v>Refer to PNP/prosecutor/court or proper agency</x:v>
      </x:c>
      <x:c r="N8" s="13" t="str">
        <x:v>Nature suggests offense that may exceed KP penalty threshold or requires prosecutor/police/legal review.</x:v>
      </x:c>
      <x:c r="O8" s="13" t="str"/>
      <x:c r="P8" s="13" t="str">
        <x:v>Estafa</x:v>
      </x:c>
      <x:c r="Q8" s="13" t="str"/>
      <x:c r="R8" s="13" t="str">
        <x:v>KP CASE PSWT - Sheet1 - KP CASE PSWT - Sheet1.pdf</x:v>
      </x:c>
    </x:row>
    <x:row r="9" ht="36" customHeight="1">
      <x:c r="A9" s="13" t="str">
        <x:v>KP-25-054-PSWT</x:v>
      </x:c>
      <x:c r="B9" s="13" t="str">
        <x:v>penalty-over-1-year</x:v>
      </x:c>
      <x:c r="C9" s="13" t="str">
        <x:v>Real PDF</x:v>
      </x:c>
      <x:c r="D9" s="13" t="str">
        <x:v>KP-25-054-PSWT</x:v>
      </x:c>
      <x:c r="E9" s="13" t="str">
        <x:v>Criminal</x:v>
      </x:c>
      <x:c r="F9" s="13" t="str">
        <x:v>Tangkang pagnanakaw</x:v>
      </x:c>
      <x:c r="G9" s="13" t="str">
        <x:v>June 13, 2025</x:v>
      </x:c>
      <x:c r="H9" s="13" t="str">
        <x:v>-</x:v>
      </x:c>
      <x:c r="I9" s="13" t="str">
        <x:v>Walang pagkakasundo at hindi na dumating ang maysumbong.</x:v>
      </x:c>
      <x:c r="J9" s="13" t="str">
        <x:v>Dismiss</x:v>
      </x:c>
      <x:c r="K9" s="13" t="str">
        <x:v>NON_KP_REFERRAL</x:v>
      </x:c>
      <x:c r="L9" s="13" t="str">
        <x:v>Not KP due to legal threshold or serious offense</x:v>
      </x:c>
      <x:c r="M9" s="13" t="str">
        <x:v>Refer to PNP/prosecutor/court or proper agency</x:v>
      </x:c>
      <x:c r="N9" s="13" t="str">
        <x:v>Nature suggests offense that may exceed KP penalty threshold or requires prosecutor/police/legal review.</x:v>
      </x:c>
      <x:c r="O9" s="13" t="str"/>
      <x:c r="P9" s="13" t="str">
        <x:v>Tangkang pagnanakaw</x:v>
      </x:c>
      <x:c r="Q9" s="13" t="str"/>
      <x:c r="R9" s="13" t="str">
        <x:v>KP CASE PSWT - Sheet1 - KP CASE PSWT - Sheet1.pdf</x:v>
      </x:c>
    </x:row>
    <x:row r="10" ht="36" customHeight="1">
      <x:c r="A10" s="13" t="str">
        <x:v>KP-25-071-PSWT</x:v>
      </x:c>
      <x:c r="B10" s="13" t="str">
        <x:v>penalty-over-1-year</x:v>
      </x:c>
      <x:c r="C10" s="13" t="str">
        <x:v>Real PDF</x:v>
      </x:c>
      <x:c r="D10" s="13" t="str">
        <x:v>KP-25-071-PSWT</x:v>
      </x:c>
      <x:c r="E10" s="13" t="str">
        <x:v>Criminal</x:v>
      </x:c>
      <x:c r="F10" s="13" t="str">
        <x:v>Pagnanakaw ng kuryente at paninira ng pintuan</x:v>
      </x:c>
      <x:c r="G10" s="13" t="str">
        <x:v>August 11, 2025</x:v>
      </x:c>
      <x:c r="H10" s="13" t="str">
        <x:v>-</x:v>
      </x:c>
      <x:c r="I10" s="13" t="str">
        <x:v>Nagkaroon ng unang patawag subalit sa pangalawang patawag hindi dumating ang maysumbong.</x:v>
      </x:c>
      <x:c r="J10" s="13" t="str">
        <x:v>Dismiss</x:v>
      </x:c>
      <x:c r="K10" s="13" t="str">
        <x:v>NON_KP_REFERRAL</x:v>
      </x:c>
      <x:c r="L10" s="13" t="str">
        <x:v>Not KP due to legal threshold or serious offense</x:v>
      </x:c>
      <x:c r="M10" s="13" t="str">
        <x:v>Refer to PNP/prosecutor/court or proper agency</x:v>
      </x:c>
      <x:c r="N10" s="13" t="str">
        <x:v>Nature suggests offense that may exceed KP penalty threshold or requires prosecutor/police/legal review.</x:v>
      </x:c>
      <x:c r="O10" s="13" t="str"/>
      <x:c r="P10" s="13" t="str">
        <x:v>Pagnanakaw ng kuryente at paninira ng pintuan</x:v>
      </x:c>
      <x:c r="Q10" s="13" t="str"/>
      <x:c r="R10" s="13" t="str">
        <x:v>KP CASE PSWT - Sheet1 - KP CASE PSWT - Sheet1.pdf</x:v>
      </x:c>
    </x:row>
    <x:row r="11" ht="36" customHeight="1">
      <x:c r="A11" s="13" t="str">
        <x:v>KP-25-088-PSWT</x:v>
      </x:c>
      <x:c r="B11" s="13" t="str">
        <x:v>penalty-over-1-year</x:v>
      </x:c>
      <x:c r="C11" s="13" t="str">
        <x:v>Real PDF</x:v>
      </x:c>
      <x:c r="D11" s="13" t="str">
        <x:v>KP-25-088-PSWT</x:v>
      </x:c>
      <x:c r="E11" s="13" t="str">
        <x:v>Criminal</x:v>
      </x:c>
      <x:c r="F11" s="13" t="str">
        <x:v>Libel and falsification of documents</x:v>
      </x:c>
      <x:c r="G11" s="13" t="str">
        <x:v>October 9, 2025</x:v>
      </x:c>
      <x:c r="H11" s="13" t="str">
        <x:v>-</x:v>
      </x:c>
      <x:c r="I11" s="13" t="str">
        <x:v>Ang ipinagsumbong ay hindi nadating sa araw ng paghaharap kaya't ang maysumbong ay may karapatan ng maghain ng kaukulang reklamo sa kinauukulang tanggapan.</x:v>
      </x:c>
      <x:c r="J11" s="13" t="str">
        <x:v>Endorsed</x:v>
      </x:c>
      <x:c r="K11" s="13" t="str">
        <x:v>NON_KP_REFERRAL</x:v>
      </x:c>
      <x:c r="L11" s="13" t="str">
        <x:v>Not KP due to legal threshold or serious offense</x:v>
      </x:c>
      <x:c r="M11" s="13" t="str">
        <x:v>Refer to PNP/prosecutor/court or proper agency</x:v>
      </x:c>
      <x:c r="N11" s="13" t="str">
        <x:v>Nature suggests offense that may exceed KP penalty threshold or requires prosecutor/police/legal review.</x:v>
      </x:c>
      <x:c r="O11" s="13" t="str"/>
      <x:c r="P11" s="13" t="str">
        <x:v>Libel and falsification of documents</x:v>
      </x:c>
      <x:c r="Q11" s="13" t="str"/>
      <x:c r="R11" s="13" t="str">
        <x:v>KP CASE PSWT - Sheet1 - KP CASE PSWT - Sheet1.pdf</x:v>
      </x:c>
    </x:row>
    <x:row r="12" ht="36" customHeight="1">
      <x:c r="A12" s="13" t="str">
        <x:v>SYN-PEN1Y-001</x:v>
      </x:c>
      <x:c r="B12" s="13" t="str">
        <x:v>penalty-over-1-year</x:v>
      </x:c>
      <x:c r="C12" s="13" t="str">
        <x:v>Synthetic</x:v>
      </x:c>
      <x:c r="D12" s="13" t="str"/>
      <x:c r="E12" s="13" t="str">
        <x:v>Criminal</x:v>
      </x:c>
      <x:c r="F12" s="13" t="str">
        <x:v>Serious physical injury na may medical certificate at posibleng mabigat na parusa</x:v>
      </x:c>
      <x:c r="G12" s="13" t="str">
        <x:v>January 12, 2026</x:v>
      </x:c>
      <x:c r="H12" s="13" t="str">
        <x:v>-</x:v>
      </x:c>
      <x:c r="I12" s="13" t="str">
        <x:v>Synthetic example: alleged offense may exceed one-year penalty threshold; refer for legal/prosecutorial handling.</x:v>
      </x:c>
      <x:c r="J12" s="13" t="str">
        <x:v>Refer</x:v>
      </x:c>
      <x:c r="K12" s="13" t="str">
        <x:v>NON_KP_REFERRAL</x:v>
      </x:c>
      <x:c r="L12" s="13" t="str">
        <x:v>Not KP; penalty threshold exceeded</x:v>
      </x:c>
      <x:c r="M12" s="13" t="str">
        <x:v>Refer to PNP/prosecutor/court or proper authority</x:v>
      </x:c>
      <x:c r="N12" s="13" t="str">
        <x:v>Potential penalty exceeds the one-year KP threshold.</x:v>
      </x:c>
      <x:c r="O12" s="13" t="str">
        <x:v>Possible penalty 18 months</x:v>
      </x:c>
      <x:c r="P12" s="13" t="str">
        <x:v>Serious physical injury na may medical certificate at posibleng mabigat na parusa</x:v>
      </x:c>
      <x:c r="Q12" s="13" t="str">
        <x:v>Added to balance 'penalty-over-1-year' to 49 examples using the same Justice KP label schema.</x:v>
      </x:c>
      <x:c r="R12" s="13" t="str">
        <x:v>Synthetic row based on category coverage gap from uploaded PDF</x:v>
      </x:c>
    </x:row>
    <x:row r="13" ht="36" customHeight="1">
      <x:c r="A13" s="13" t="str">
        <x:v>SYN-PEN1Y-002</x:v>
      </x:c>
      <x:c r="B13" s="13" t="str">
        <x:v>penalty-over-1-year</x:v>
      </x:c>
      <x:c r="C13" s="13" t="str">
        <x:v>Synthetic</x:v>
      </x:c>
      <x:c r="D13" s="13" t="str"/>
      <x:c r="E13" s="13" t="str">
        <x:v>Criminal</x:v>
      </x:c>
      <x:c r="F13" s="13" t="str">
        <x:v>Pagnanakaw ng mamahaling gamit na lampas sa simpleng barangay dispute</x:v>
      </x:c>
      <x:c r="G13" s="13" t="str">
        <x:v>January 15, 2026</x:v>
      </x:c>
      <x:c r="H13" s="13" t="str">
        <x:v>-</x:v>
      </x:c>
      <x:c r="I13" s="13" t="str">
        <x:v>Synthetic example: alleged offense may exceed one-year penalty threshold; refer for legal/prosecutorial handling.</x:v>
      </x:c>
      <x:c r="J13" s="13" t="str">
        <x:v>Refer</x:v>
      </x:c>
      <x:c r="K13" s="13" t="str">
        <x:v>NON_KP_REFERRAL</x:v>
      </x:c>
      <x:c r="L13" s="13" t="str">
        <x:v>Not KP; penalty threshold exceeded</x:v>
      </x:c>
      <x:c r="M13" s="13" t="str">
        <x:v>Refer to PNP/prosecutor/court or proper authority</x:v>
      </x:c>
      <x:c r="N13" s="13" t="str">
        <x:v>Potential penalty exceeds the one-year KP threshold.</x:v>
      </x:c>
      <x:c r="O13" s="13" t="str">
        <x:v>Possible penalty 24 months</x:v>
      </x:c>
      <x:c r="P13" s="13" t="str">
        <x:v>Pagnanakaw ng mamahaling gamit na lampas sa simpleng barangay dispute</x:v>
      </x:c>
      <x:c r="Q13" s="13" t="str">
        <x:v>Added to balance 'penalty-over-1-year' to 49 examples using the same Justice KP label schema.</x:v>
      </x:c>
      <x:c r="R13" s="13" t="str">
        <x:v>Synthetic row based on category coverage gap from uploaded PDF</x:v>
      </x:c>
    </x:row>
    <x:row r="14" ht="36" customHeight="1">
      <x:c r="A14" s="13" t="str">
        <x:v>SYN-PEN1Y-003</x:v>
      </x:c>
      <x:c r="B14" s="13" t="str">
        <x:v>penalty-over-1-year</x:v>
      </x:c>
      <x:c r="C14" s="13" t="str">
        <x:v>Synthetic</x:v>
      </x:c>
      <x:c r="D14" s="13" t="str"/>
      <x:c r="E14" s="13" t="str">
        <x:v>Criminal</x:v>
      </x:c>
      <x:c r="F14" s="13" t="str">
        <x:v>Pananaksak o paggamit ng patalim sa away</x:v>
      </x:c>
      <x:c r="G14" s="13" t="str">
        <x:v>January 18, 2026</x:v>
      </x:c>
      <x:c r="H14" s="13" t="str">
        <x:v>-</x:v>
      </x:c>
      <x:c r="I14" s="13" t="str">
        <x:v>Synthetic example: alleged offense may exceed one-year penalty threshold; refer for legal/prosecutorial handling.</x:v>
      </x:c>
      <x:c r="J14" s="13" t="str">
        <x:v>Refer</x:v>
      </x:c>
      <x:c r="K14" s="13" t="str">
        <x:v>NON_KP_REFERRAL</x:v>
      </x:c>
      <x:c r="L14" s="13" t="str">
        <x:v>Not KP; penalty threshold exceeded</x:v>
      </x:c>
      <x:c r="M14" s="13" t="str">
        <x:v>Refer to PNP/prosecutor/court or proper authority</x:v>
      </x:c>
      <x:c r="N14" s="13" t="str">
        <x:v>Potential penalty exceeds the one-year KP threshold.</x:v>
      </x:c>
      <x:c r="O14" s="13" t="str">
        <x:v>Possible penalty 36 months</x:v>
      </x:c>
      <x:c r="P14" s="13" t="str">
        <x:v>Pananaksak o paggamit ng patalim sa away</x:v>
      </x:c>
      <x:c r="Q14" s="13" t="str">
        <x:v>Added to balance 'penalty-over-1-year' to 49 examples using the same Justice KP label schema.</x:v>
      </x:c>
      <x:c r="R14" s="13" t="str">
        <x:v>Synthetic row based on category coverage gap from uploaded PDF</x:v>
      </x:c>
    </x:row>
    <x:row r="15" ht="36" customHeight="1">
      <x:c r="A15" s="13" t="str">
        <x:v>SYN-PEN1Y-004</x:v>
      </x:c>
      <x:c r="B15" s="13" t="str">
        <x:v>penalty-over-1-year</x:v>
      </x:c>
      <x:c r="C15" s="13" t="str">
        <x:v>Synthetic</x:v>
      </x:c>
      <x:c r="D15" s="13" t="str"/>
      <x:c r="E15" s="13" t="str">
        <x:v>Criminal</x:v>
      </x:c>
      <x:c r="F15" s="13" t="str">
        <x:v>Falsification of public document complaint</x:v>
      </x:c>
      <x:c r="G15" s="13" t="str">
        <x:v>January 21, 2026</x:v>
      </x:c>
      <x:c r="H15" s="13" t="str">
        <x:v>-</x:v>
      </x:c>
      <x:c r="I15" s="13" t="str">
        <x:v>Synthetic example: alleged offense may exceed one-year penalty threshold; refer for legal/prosecutorial handling.</x:v>
      </x:c>
      <x:c r="J15" s="13" t="str">
        <x:v>Refer</x:v>
      </x:c>
      <x:c r="K15" s="13" t="str">
        <x:v>NON_KP_REFERRAL</x:v>
      </x:c>
      <x:c r="L15" s="13" t="str">
        <x:v>Not KP; penalty threshold exceeded</x:v>
      </x:c>
      <x:c r="M15" s="13" t="str">
        <x:v>Refer to PNP/prosecutor/court or proper authority</x:v>
      </x:c>
      <x:c r="N15" s="13" t="str">
        <x:v>Potential penalty exceeds the one-year KP threshold.</x:v>
      </x:c>
      <x:c r="O15" s="13" t="str">
        <x:v>Possible penalty 48 months</x:v>
      </x:c>
      <x:c r="P15" s="13" t="str">
        <x:v>Falsification of public document complaint</x:v>
      </x:c>
      <x:c r="Q15" s="13" t="str">
        <x:v>Added to balance 'penalty-over-1-year' to 49 examples using the same Justice KP label schema.</x:v>
      </x:c>
      <x:c r="R15" s="13" t="str">
        <x:v>Synthetic row based on category coverage gap from uploaded PDF</x:v>
      </x:c>
    </x:row>
    <x:row r="16" ht="36" customHeight="1">
      <x:c r="A16" s="13" t="str">
        <x:v>SYN-PEN1Y-005</x:v>
      </x:c>
      <x:c r="B16" s="13" t="str">
        <x:v>penalty-over-1-year</x:v>
      </x:c>
      <x:c r="C16" s="13" t="str">
        <x:v>Synthetic</x:v>
      </x:c>
      <x:c r="D16" s="13" t="str"/>
      <x:c r="E16" s="13" t="str">
        <x:v>Criminal</x:v>
      </x:c>
      <x:c r="F16" s="13" t="str">
        <x:v>Robbery complaint involving force or intimidation</x:v>
      </x:c>
      <x:c r="G16" s="13" t="str">
        <x:v>January 24, 2026</x:v>
      </x:c>
      <x:c r="H16" s="13" t="str">
        <x:v>-</x:v>
      </x:c>
      <x:c r="I16" s="13" t="str">
        <x:v>Synthetic example: alleged offense may exceed one-year penalty threshold; refer for legal/prosecutorial handling.</x:v>
      </x:c>
      <x:c r="J16" s="13" t="str">
        <x:v>Refer</x:v>
      </x:c>
      <x:c r="K16" s="13" t="str">
        <x:v>NON_KP_REFERRAL</x:v>
      </x:c>
      <x:c r="L16" s="13" t="str">
        <x:v>Not KP; penalty threshold exceeded</x:v>
      </x:c>
      <x:c r="M16" s="13" t="str">
        <x:v>Refer to PNP/prosecutor/court or proper authority</x:v>
      </x:c>
      <x:c r="N16" s="13" t="str">
        <x:v>Potential penalty exceeds the one-year KP threshold.</x:v>
      </x:c>
      <x:c r="O16" s="13" t="str">
        <x:v>Possible penalty 72 months</x:v>
      </x:c>
      <x:c r="P16" s="13" t="str">
        <x:v>Robbery complaint involving force or intimidation</x:v>
      </x:c>
      <x:c r="Q16" s="13" t="str">
        <x:v>Added to balance 'penalty-over-1-year' to 49 examples using the same Justice KP label schema.</x:v>
      </x:c>
      <x:c r="R16" s="13" t="str">
        <x:v>Synthetic row based on category coverage gap from uploaded PDF</x:v>
      </x:c>
    </x:row>
    <x:row r="17" ht="36" customHeight="1">
      <x:c r="A17" s="13" t="str">
        <x:v>SYN-PEN1Y-006</x:v>
      </x:c>
      <x:c r="B17" s="13" t="str">
        <x:v>penalty-over-1-year</x:v>
      </x:c>
      <x:c r="C17" s="13" t="str">
        <x:v>Synthetic</x:v>
      </x:c>
      <x:c r="D17" s="13" t="str"/>
      <x:c r="E17" s="13" t="str">
        <x:v>Criminal</x:v>
      </x:c>
      <x:c r="F17" s="13" t="str">
        <x:v>Serious threats involving arson or deadly weapon</x:v>
      </x:c>
      <x:c r="G17" s="13" t="str">
        <x:v>January 27, 2026</x:v>
      </x:c>
      <x:c r="H17" s="13" t="str">
        <x:v>-</x:v>
      </x:c>
      <x:c r="I17" s="13" t="str">
        <x:v>Synthetic example: alleged offense may exceed one-year penalty threshold; refer for legal/prosecutorial handling.</x:v>
      </x:c>
      <x:c r="J17" s="13" t="str">
        <x:v>Refer</x:v>
      </x:c>
      <x:c r="K17" s="13" t="str">
        <x:v>NON_KP_REFERRAL</x:v>
      </x:c>
      <x:c r="L17" s="13" t="str">
        <x:v>Not KP; penalty threshold exceeded</x:v>
      </x:c>
      <x:c r="M17" s="13" t="str">
        <x:v>Refer to PNP/prosecutor/court or proper authority</x:v>
      </x:c>
      <x:c r="N17" s="13" t="str">
        <x:v>Potential penalty exceeds the one-year KP threshold.</x:v>
      </x:c>
      <x:c r="O17" s="13" t="str">
        <x:v>Possible penalty 18 months</x:v>
      </x:c>
      <x:c r="P17" s="13" t="str">
        <x:v>Serious threats involving arson or deadly weapon</x:v>
      </x:c>
      <x:c r="Q17" s="13" t="str">
        <x:v>Added to balance 'penalty-over-1-year' to 49 examples using the same Justice KP label schema.</x:v>
      </x:c>
      <x:c r="R17" s="13" t="str">
        <x:v>Synthetic row based on category coverage gap from uploaded PDF</x:v>
      </x:c>
    </x:row>
    <x:row r="18" ht="36" customHeight="1">
      <x:c r="A18" s="13" t="str">
        <x:v>SYN-PEN1Y-007</x:v>
      </x:c>
      <x:c r="B18" s="13" t="str">
        <x:v>penalty-over-1-year</x:v>
      </x:c>
      <x:c r="C18" s="13" t="str">
        <x:v>Synthetic</x:v>
      </x:c>
      <x:c r="D18" s="13" t="str"/>
      <x:c r="E18" s="13" t="str">
        <x:v>Criminal</x:v>
      </x:c>
      <x:c r="F18" s="13" t="str">
        <x:v>Qualified trespass with damage to property</x:v>
      </x:c>
      <x:c r="G18" s="13" t="str">
        <x:v>January 30, 2026</x:v>
      </x:c>
      <x:c r="H18" s="13" t="str">
        <x:v>-</x:v>
      </x:c>
      <x:c r="I18" s="13" t="str">
        <x:v>Synthetic example: alleged offense may exceed one-year penalty threshold; refer for legal/prosecutorial handling.</x:v>
      </x:c>
      <x:c r="J18" s="13" t="str">
        <x:v>Refer</x:v>
      </x:c>
      <x:c r="K18" s="13" t="str">
        <x:v>NON_KP_REFERRAL</x:v>
      </x:c>
      <x:c r="L18" s="13" t="str">
        <x:v>Not KP; penalty threshold exceeded</x:v>
      </x:c>
      <x:c r="M18" s="13" t="str">
        <x:v>Refer to PNP/prosecutor/court or proper authority</x:v>
      </x:c>
      <x:c r="N18" s="13" t="str">
        <x:v>Potential penalty exceeds the one-year KP threshold.</x:v>
      </x:c>
      <x:c r="O18" s="13" t="str">
        <x:v>Possible penalty 24 months</x:v>
      </x:c>
      <x:c r="P18" s="13" t="str">
        <x:v>Qualified trespass with damage to property</x:v>
      </x:c>
      <x:c r="Q18" s="13" t="str">
        <x:v>Added to balance 'penalty-over-1-year' to 49 examples using the same Justice KP label schema.</x:v>
      </x:c>
      <x:c r="R18" s="13" t="str">
        <x:v>Synthetic row based on category coverage gap from uploaded PDF</x:v>
      </x:c>
    </x:row>
    <x:row r="19" ht="36" customHeight="1">
      <x:c r="A19" s="13" t="str">
        <x:v>SYN-PEN1Y-008</x:v>
      </x:c>
      <x:c r="B19" s="13" t="str">
        <x:v>penalty-over-1-year</x:v>
      </x:c>
      <x:c r="C19" s="13" t="str">
        <x:v>Synthetic</x:v>
      </x:c>
      <x:c r="D19" s="13" t="str"/>
      <x:c r="E19" s="13" t="str">
        <x:v>Criminal</x:v>
      </x:c>
      <x:c r="F19" s="13" t="str">
        <x:v>Estafa complaint involving large amount and fraud</x:v>
      </x:c>
      <x:c r="G19" s="13" t="str">
        <x:v>February 2, 2026</x:v>
      </x:c>
      <x:c r="H19" s="13" t="str">
        <x:v>-</x:v>
      </x:c>
      <x:c r="I19" s="13" t="str">
        <x:v>Synthetic example: alleged offense may exceed one-year penalty threshold; refer for legal/prosecutorial handling.</x:v>
      </x:c>
      <x:c r="J19" s="13" t="str">
        <x:v>Refer</x:v>
      </x:c>
      <x:c r="K19" s="13" t="str">
        <x:v>NON_KP_REFERRAL</x:v>
      </x:c>
      <x:c r="L19" s="13" t="str">
        <x:v>Not KP; penalty threshold exceeded</x:v>
      </x:c>
      <x:c r="M19" s="13" t="str">
        <x:v>Refer to PNP/prosecutor/court or proper authority</x:v>
      </x:c>
      <x:c r="N19" s="13" t="str">
        <x:v>Potential penalty exceeds the one-year KP threshold.</x:v>
      </x:c>
      <x:c r="O19" s="13" t="str">
        <x:v>Possible penalty 36 months</x:v>
      </x:c>
      <x:c r="P19" s="13" t="str">
        <x:v>Estafa complaint involving large amount and fraud</x:v>
      </x:c>
      <x:c r="Q19" s="13" t="str">
        <x:v>Added to balance 'penalty-over-1-year' to 49 examples using the same Justice KP label schema.</x:v>
      </x:c>
      <x:c r="R19" s="13" t="str">
        <x:v>Synthetic row based on category coverage gap from uploaded PDF</x:v>
      </x:c>
    </x:row>
    <x:row r="20" ht="36" customHeight="1">
      <x:c r="A20" s="13" t="str">
        <x:v>SYN-PEN1Y-009</x:v>
      </x:c>
      <x:c r="B20" s="13" t="str">
        <x:v>penalty-over-1-year</x:v>
      </x:c>
      <x:c r="C20" s="13" t="str">
        <x:v>Synthetic</x:v>
      </x:c>
      <x:c r="D20" s="13" t="str"/>
      <x:c r="E20" s="13" t="str">
        <x:v>Criminal</x:v>
      </x:c>
      <x:c r="F20" s="13" t="str">
        <x:v>Theft of electricity with damage to meter</x:v>
      </x:c>
      <x:c r="G20" s="13" t="str">
        <x:v>February 5, 2026</x:v>
      </x:c>
      <x:c r="H20" s="13" t="str">
        <x:v>-</x:v>
      </x:c>
      <x:c r="I20" s="13" t="str">
        <x:v>Synthetic example: alleged offense may exceed one-year penalty threshold; refer for legal/prosecutorial handling.</x:v>
      </x:c>
      <x:c r="J20" s="13" t="str">
        <x:v>Refer</x:v>
      </x:c>
      <x:c r="K20" s="13" t="str">
        <x:v>NON_KP_REFERRAL</x:v>
      </x:c>
      <x:c r="L20" s="13" t="str">
        <x:v>Not KP; penalty threshold exceeded</x:v>
      </x:c>
      <x:c r="M20" s="13" t="str">
        <x:v>Refer to PNP/prosecutor/court or proper authority</x:v>
      </x:c>
      <x:c r="N20" s="13" t="str">
        <x:v>Potential penalty exceeds the one-year KP threshold.</x:v>
      </x:c>
      <x:c r="O20" s="13" t="str">
        <x:v>Possible penalty 48 months</x:v>
      </x:c>
      <x:c r="P20" s="13" t="str">
        <x:v>Theft of electricity with damage to meter</x:v>
      </x:c>
      <x:c r="Q20" s="13" t="str">
        <x:v>Added to balance 'penalty-over-1-year' to 49 examples using the same Justice KP label schema.</x:v>
      </x:c>
      <x:c r="R20" s="13" t="str">
        <x:v>Synthetic row based on category coverage gap from uploaded PDF</x:v>
      </x:c>
    </x:row>
    <x:row r="21" ht="36" customHeight="1">
      <x:c r="A21" s="13" t="str">
        <x:v>SYN-PEN1Y-010</x:v>
      </x:c>
      <x:c r="B21" s="13" t="str">
        <x:v>penalty-over-1-year</x:v>
      </x:c>
      <x:c r="C21" s="13" t="str">
        <x:v>Synthetic</x:v>
      </x:c>
      <x:c r="D21" s="13" t="str"/>
      <x:c r="E21" s="13" t="str">
        <x:v>Criminal</x:v>
      </x:c>
      <x:c r="F21" s="13" t="str">
        <x:v>Malicious mischief with major property damage</x:v>
      </x:c>
      <x:c r="G21" s="13" t="str">
        <x:v>February 8, 2026</x:v>
      </x:c>
      <x:c r="H21" s="13" t="str">
        <x:v>-</x:v>
      </x:c>
      <x:c r="I21" s="13" t="str">
        <x:v>Synthetic example: alleged offense may exceed one-year penalty threshold; refer for legal/prosecutorial handling.</x:v>
      </x:c>
      <x:c r="J21" s="13" t="str">
        <x:v>Refer</x:v>
      </x:c>
      <x:c r="K21" s="13" t="str">
        <x:v>NON_KP_REFERRAL</x:v>
      </x:c>
      <x:c r="L21" s="13" t="str">
        <x:v>Not KP; penalty threshold exceeded</x:v>
      </x:c>
      <x:c r="M21" s="13" t="str">
        <x:v>Refer to PNP/prosecutor/court or proper authority</x:v>
      </x:c>
      <x:c r="N21" s="13" t="str">
        <x:v>Potential penalty exceeds the one-year KP threshold.</x:v>
      </x:c>
      <x:c r="O21" s="13" t="str">
        <x:v>Possible penalty 72 months</x:v>
      </x:c>
      <x:c r="P21" s="13" t="str">
        <x:v>Malicious mischief with major property damage</x:v>
      </x:c>
      <x:c r="Q21" s="13" t="str">
        <x:v>Added to balance 'penalty-over-1-year' to 49 examples using the same Justice KP label schema.</x:v>
      </x:c>
      <x:c r="R21" s="13" t="str">
        <x:v>Synthetic row based on category coverage gap from uploaded PDF</x:v>
      </x:c>
    </x:row>
    <x:row r="22" ht="36" customHeight="1">
      <x:c r="A22" s="13" t="str">
        <x:v>SYN-PEN1Y-011</x:v>
      </x:c>
      <x:c r="B22" s="13" t="str">
        <x:v>penalty-over-1-year</x:v>
      </x:c>
      <x:c r="C22" s="13" t="str">
        <x:v>Synthetic</x:v>
      </x:c>
      <x:c r="D22" s="13" t="str"/>
      <x:c r="E22" s="13" t="str">
        <x:v>Criminal</x:v>
      </x:c>
      <x:c r="F22" s="13" t="str">
        <x:v>Serious physical injury na may medical certificate at posibleng mabigat na parusa</x:v>
      </x:c>
      <x:c r="G22" s="13" t="str">
        <x:v>February 11, 2026</x:v>
      </x:c>
      <x:c r="H22" s="13" t="str">
        <x:v>-</x:v>
      </x:c>
      <x:c r="I22" s="13" t="str">
        <x:v>Synthetic example: alleged offense may exceed one-year penalty threshold; refer for legal/prosecutorial handling.</x:v>
      </x:c>
      <x:c r="J22" s="13" t="str">
        <x:v>Refer</x:v>
      </x:c>
      <x:c r="K22" s="13" t="str">
        <x:v>NON_KP_REFERRAL</x:v>
      </x:c>
      <x:c r="L22" s="13" t="str">
        <x:v>Not KP; penalty threshold exceeded</x:v>
      </x:c>
      <x:c r="M22" s="13" t="str">
        <x:v>Refer to PNP/prosecutor/court or proper authority</x:v>
      </x:c>
      <x:c r="N22" s="13" t="str">
        <x:v>Potential penalty exceeds the one-year KP threshold.</x:v>
      </x:c>
      <x:c r="O22" s="13" t="str">
        <x:v>Possible penalty 18 months</x:v>
      </x:c>
      <x:c r="P22" s="13" t="str">
        <x:v>Serious physical injury na may medical certificate at posibleng mabigat na parusa</x:v>
      </x:c>
      <x:c r="Q22" s="13" t="str">
        <x:v>Added to balance 'penalty-over-1-year' to 49 examples using the same Justice KP label schema.</x:v>
      </x:c>
      <x:c r="R22" s="13" t="str">
        <x:v>Synthetic row based on category coverage gap from uploaded PDF</x:v>
      </x:c>
    </x:row>
    <x:row r="23" ht="36" customHeight="1">
      <x:c r="A23" s="13" t="str">
        <x:v>SYN-PEN1Y-012</x:v>
      </x:c>
      <x:c r="B23" s="13" t="str">
        <x:v>penalty-over-1-year</x:v>
      </x:c>
      <x:c r="C23" s="13" t="str">
        <x:v>Synthetic</x:v>
      </x:c>
      <x:c r="D23" s="13" t="str"/>
      <x:c r="E23" s="13" t="str">
        <x:v>Criminal</x:v>
      </x:c>
      <x:c r="F23" s="13" t="str">
        <x:v>Pagnanakaw ng mamahaling gamit na lampas sa simpleng barangay dispute</x:v>
      </x:c>
      <x:c r="G23" s="13" t="str">
        <x:v>February 14, 2026</x:v>
      </x:c>
      <x:c r="H23" s="13" t="str">
        <x:v>-</x:v>
      </x:c>
      <x:c r="I23" s="13" t="str">
        <x:v>Synthetic example: alleged offense may exceed one-year penalty threshold; refer for legal/prosecutorial handling.</x:v>
      </x:c>
      <x:c r="J23" s="13" t="str">
        <x:v>Refer</x:v>
      </x:c>
      <x:c r="K23" s="13" t="str">
        <x:v>NON_KP_REFERRAL</x:v>
      </x:c>
      <x:c r="L23" s="13" t="str">
        <x:v>Not KP; penalty threshold exceeded</x:v>
      </x:c>
      <x:c r="M23" s="13" t="str">
        <x:v>Refer to PNP/prosecutor/court or proper authority</x:v>
      </x:c>
      <x:c r="N23" s="13" t="str">
        <x:v>Potential penalty exceeds the one-year KP threshold.</x:v>
      </x:c>
      <x:c r="O23" s="13" t="str">
        <x:v>Possible penalty 24 months</x:v>
      </x:c>
      <x:c r="P23" s="13" t="str">
        <x:v>Pagnanakaw ng mamahaling gamit na lampas sa simpleng barangay dispute</x:v>
      </x:c>
      <x:c r="Q23" s="13" t="str">
        <x:v>Added to balance 'penalty-over-1-year' to 49 examples using the same Justice KP label schema.</x:v>
      </x:c>
      <x:c r="R23" s="13" t="str">
        <x:v>Synthetic row based on category coverage gap from uploaded PDF</x:v>
      </x:c>
    </x:row>
    <x:row r="24" ht="36" customHeight="1">
      <x:c r="A24" s="13" t="str">
        <x:v>SYN-PEN1Y-013</x:v>
      </x:c>
      <x:c r="B24" s="13" t="str">
        <x:v>penalty-over-1-year</x:v>
      </x:c>
      <x:c r="C24" s="13" t="str">
        <x:v>Synthetic</x:v>
      </x:c>
      <x:c r="D24" s="13" t="str"/>
      <x:c r="E24" s="13" t="str">
        <x:v>Criminal</x:v>
      </x:c>
      <x:c r="F24" s="13" t="str">
        <x:v>Pananaksak o paggamit ng patalim sa away</x:v>
      </x:c>
      <x:c r="G24" s="13" t="str">
        <x:v>February 17, 2026</x:v>
      </x:c>
      <x:c r="H24" s="13" t="str">
        <x:v>-</x:v>
      </x:c>
      <x:c r="I24" s="13" t="str">
        <x:v>Synthetic example: alleged offense may exceed one-year penalty threshold; refer for legal/prosecutorial handling.</x:v>
      </x:c>
      <x:c r="J24" s="13" t="str">
        <x:v>Refer</x:v>
      </x:c>
      <x:c r="K24" s="13" t="str">
        <x:v>NON_KP_REFERRAL</x:v>
      </x:c>
      <x:c r="L24" s="13" t="str">
        <x:v>Not KP; penalty threshold exceeded</x:v>
      </x:c>
      <x:c r="M24" s="13" t="str">
        <x:v>Refer to PNP/prosecutor/court or proper authority</x:v>
      </x:c>
      <x:c r="N24" s="13" t="str">
        <x:v>Potential penalty exceeds the one-year KP threshold.</x:v>
      </x:c>
      <x:c r="O24" s="13" t="str">
        <x:v>Possible penalty 36 months</x:v>
      </x:c>
      <x:c r="P24" s="13" t="str">
        <x:v>Pananaksak o paggamit ng patalim sa away</x:v>
      </x:c>
      <x:c r="Q24" s="13" t="str">
        <x:v>Added to balance 'penalty-over-1-year' to 49 examples using the same Justice KP label schema.</x:v>
      </x:c>
      <x:c r="R24" s="13" t="str">
        <x:v>Synthetic row based on category coverage gap from uploaded PDF</x:v>
      </x:c>
    </x:row>
    <x:row r="25" ht="36" customHeight="1">
      <x:c r="A25" s="13" t="str">
        <x:v>SYN-PEN1Y-014</x:v>
      </x:c>
      <x:c r="B25" s="13" t="str">
        <x:v>penalty-over-1-year</x:v>
      </x:c>
      <x:c r="C25" s="13" t="str">
        <x:v>Synthetic</x:v>
      </x:c>
      <x:c r="D25" s="13" t="str"/>
      <x:c r="E25" s="13" t="str">
        <x:v>Criminal</x:v>
      </x:c>
      <x:c r="F25" s="13" t="str">
        <x:v>Falsification of public document complaint</x:v>
      </x:c>
      <x:c r="G25" s="13" t="str">
        <x:v>February 20, 2026</x:v>
      </x:c>
      <x:c r="H25" s="13" t="str">
        <x:v>-</x:v>
      </x:c>
      <x:c r="I25" s="13" t="str">
        <x:v>Synthetic example: alleged offense may exceed one-year penalty threshold; refer for legal/prosecutorial handling.</x:v>
      </x:c>
      <x:c r="J25" s="13" t="str">
        <x:v>Refer</x:v>
      </x:c>
      <x:c r="K25" s="13" t="str">
        <x:v>NON_KP_REFERRAL</x:v>
      </x:c>
      <x:c r="L25" s="13" t="str">
        <x:v>Not KP; penalty threshold exceeded</x:v>
      </x:c>
      <x:c r="M25" s="13" t="str">
        <x:v>Refer to PNP/prosecutor/court or proper authority</x:v>
      </x:c>
      <x:c r="N25" s="13" t="str">
        <x:v>Potential penalty exceeds the one-year KP threshold.</x:v>
      </x:c>
      <x:c r="O25" s="13" t="str">
        <x:v>Possible penalty 48 months</x:v>
      </x:c>
      <x:c r="P25" s="13" t="str">
        <x:v>Falsification of public document complaint</x:v>
      </x:c>
      <x:c r="Q25" s="13" t="str">
        <x:v>Added to balance 'penalty-over-1-year' to 49 examples using the same Justice KP label schema.</x:v>
      </x:c>
      <x:c r="R25" s="13" t="str">
        <x:v>Synthetic row based on category coverage gap from uploaded PDF</x:v>
      </x:c>
    </x:row>
    <x:row r="26" ht="36" customHeight="1">
      <x:c r="A26" s="13" t="str">
        <x:v>SYN-PEN1Y-015</x:v>
      </x:c>
      <x:c r="B26" s="13" t="str">
        <x:v>penalty-over-1-year</x:v>
      </x:c>
      <x:c r="C26" s="13" t="str">
        <x:v>Synthetic</x:v>
      </x:c>
      <x:c r="D26" s="13" t="str"/>
      <x:c r="E26" s="13" t="str">
        <x:v>Criminal</x:v>
      </x:c>
      <x:c r="F26" s="13" t="str">
        <x:v>Robbery complaint involving force or intimidation</x:v>
      </x:c>
      <x:c r="G26" s="13" t="str">
        <x:v>February 23, 2026</x:v>
      </x:c>
      <x:c r="H26" s="13" t="str">
        <x:v>-</x:v>
      </x:c>
      <x:c r="I26" s="13" t="str">
        <x:v>Synthetic example: alleged offense may exceed one-year penalty threshold; refer for legal/prosecutorial handling.</x:v>
      </x:c>
      <x:c r="J26" s="13" t="str">
        <x:v>Refer</x:v>
      </x:c>
      <x:c r="K26" s="13" t="str">
        <x:v>NON_KP_REFERRAL</x:v>
      </x:c>
      <x:c r="L26" s="13" t="str">
        <x:v>Not KP; penalty threshold exceeded</x:v>
      </x:c>
      <x:c r="M26" s="13" t="str">
        <x:v>Refer to PNP/prosecutor/court or proper authority</x:v>
      </x:c>
      <x:c r="N26" s="13" t="str">
        <x:v>Potential penalty exceeds the one-year KP threshold.</x:v>
      </x:c>
      <x:c r="O26" s="13" t="str">
        <x:v>Possible penalty 72 months</x:v>
      </x:c>
      <x:c r="P26" s="13" t="str">
        <x:v>Robbery complaint involving force or intimidation</x:v>
      </x:c>
      <x:c r="Q26" s="13" t="str">
        <x:v>Added to balance 'penalty-over-1-year' to 49 examples using the same Justice KP label schema.</x:v>
      </x:c>
      <x:c r="R26" s="13" t="str">
        <x:v>Synthetic row based on category coverage gap from uploaded PDF</x:v>
      </x:c>
    </x:row>
    <x:row r="27" ht="36" customHeight="1">
      <x:c r="A27" s="13" t="str">
        <x:v>SYN-PEN1Y-016</x:v>
      </x:c>
      <x:c r="B27" s="13" t="str">
        <x:v>penalty-over-1-year</x:v>
      </x:c>
      <x:c r="C27" s="13" t="str">
        <x:v>Synthetic</x:v>
      </x:c>
      <x:c r="D27" s="13" t="str"/>
      <x:c r="E27" s="13" t="str">
        <x:v>Criminal</x:v>
      </x:c>
      <x:c r="F27" s="13" t="str">
        <x:v>Serious threats involving arson or deadly weapon</x:v>
      </x:c>
      <x:c r="G27" s="13" t="str">
        <x:v>February 26, 2026</x:v>
      </x:c>
      <x:c r="H27" s="13" t="str">
        <x:v>-</x:v>
      </x:c>
      <x:c r="I27" s="13" t="str">
        <x:v>Synthetic example: alleged offense may exceed one-year penalty threshold; refer for legal/prosecutorial handling.</x:v>
      </x:c>
      <x:c r="J27" s="13" t="str">
        <x:v>Refer</x:v>
      </x:c>
      <x:c r="K27" s="13" t="str">
        <x:v>NON_KP_REFERRAL</x:v>
      </x:c>
      <x:c r="L27" s="13" t="str">
        <x:v>Not KP; penalty threshold exceeded</x:v>
      </x:c>
      <x:c r="M27" s="13" t="str">
        <x:v>Refer to PNP/prosecutor/court or proper authority</x:v>
      </x:c>
      <x:c r="N27" s="13" t="str">
        <x:v>Potential penalty exceeds the one-year KP threshold.</x:v>
      </x:c>
      <x:c r="O27" s="13" t="str">
        <x:v>Possible penalty 18 months</x:v>
      </x:c>
      <x:c r="P27" s="13" t="str">
        <x:v>Serious threats involving arson or deadly weapon</x:v>
      </x:c>
      <x:c r="Q27" s="13" t="str">
        <x:v>Added to balance 'penalty-over-1-year' to 49 examples using the same Justice KP label schema.</x:v>
      </x:c>
      <x:c r="R27" s="13" t="str">
        <x:v>Synthetic row based on category coverage gap from uploaded PDF</x:v>
      </x:c>
    </x:row>
    <x:row r="28" ht="36" customHeight="1">
      <x:c r="A28" s="13" t="str">
        <x:v>SYN-PEN1Y-017</x:v>
      </x:c>
      <x:c r="B28" s="13" t="str">
        <x:v>penalty-over-1-year</x:v>
      </x:c>
      <x:c r="C28" s="13" t="str">
        <x:v>Synthetic</x:v>
      </x:c>
      <x:c r="D28" s="13" t="str"/>
      <x:c r="E28" s="13" t="str">
        <x:v>Criminal</x:v>
      </x:c>
      <x:c r="F28" s="13" t="str">
        <x:v>Qualified trespass with damage to property</x:v>
      </x:c>
      <x:c r="G28" s="13" t="str">
        <x:v>March 1, 2026</x:v>
      </x:c>
      <x:c r="H28" s="13" t="str">
        <x:v>-</x:v>
      </x:c>
      <x:c r="I28" s="13" t="str">
        <x:v>Synthetic example: alleged offense may exceed one-year penalty threshold; refer for legal/prosecutorial handling.</x:v>
      </x:c>
      <x:c r="J28" s="13" t="str">
        <x:v>Refer</x:v>
      </x:c>
      <x:c r="K28" s="13" t="str">
        <x:v>NON_KP_REFERRAL</x:v>
      </x:c>
      <x:c r="L28" s="13" t="str">
        <x:v>Not KP; penalty threshold exceeded</x:v>
      </x:c>
      <x:c r="M28" s="13" t="str">
        <x:v>Refer to PNP/prosecutor/court or proper authority</x:v>
      </x:c>
      <x:c r="N28" s="13" t="str">
        <x:v>Potential penalty exceeds the one-year KP threshold.</x:v>
      </x:c>
      <x:c r="O28" s="13" t="str">
        <x:v>Possible penalty 24 months</x:v>
      </x:c>
      <x:c r="P28" s="13" t="str">
        <x:v>Qualified trespass with damage to property</x:v>
      </x:c>
      <x:c r="Q28" s="13" t="str">
        <x:v>Added to balance 'penalty-over-1-year' to 49 examples using the same Justice KP label schema.</x:v>
      </x:c>
      <x:c r="R28" s="13" t="str">
        <x:v>Synthetic row based on category coverage gap from uploaded PDF</x:v>
      </x:c>
    </x:row>
    <x:row r="29" ht="36" customHeight="1">
      <x:c r="A29" s="13" t="str">
        <x:v>SYN-PEN1Y-018</x:v>
      </x:c>
      <x:c r="B29" s="13" t="str">
        <x:v>penalty-over-1-year</x:v>
      </x:c>
      <x:c r="C29" s="13" t="str">
        <x:v>Synthetic</x:v>
      </x:c>
      <x:c r="D29" s="13" t="str"/>
      <x:c r="E29" s="13" t="str">
        <x:v>Criminal</x:v>
      </x:c>
      <x:c r="F29" s="13" t="str">
        <x:v>Estafa complaint involving large amount and fraud</x:v>
      </x:c>
      <x:c r="G29" s="13" t="str">
        <x:v>March 4, 2026</x:v>
      </x:c>
      <x:c r="H29" s="13" t="str">
        <x:v>-</x:v>
      </x:c>
      <x:c r="I29" s="13" t="str">
        <x:v>Synthetic example: alleged offense may exceed one-year penalty threshold; refer for legal/prosecutorial handling.</x:v>
      </x:c>
      <x:c r="J29" s="13" t="str">
        <x:v>Refer</x:v>
      </x:c>
      <x:c r="K29" s="13" t="str">
        <x:v>NON_KP_REFERRAL</x:v>
      </x:c>
      <x:c r="L29" s="13" t="str">
        <x:v>Not KP; penalty threshold exceeded</x:v>
      </x:c>
      <x:c r="M29" s="13" t="str">
        <x:v>Refer to PNP/prosecutor/court or proper authority</x:v>
      </x:c>
      <x:c r="N29" s="13" t="str">
        <x:v>Potential penalty exceeds the one-year KP threshold.</x:v>
      </x:c>
      <x:c r="O29" s="13" t="str">
        <x:v>Possible penalty 36 months</x:v>
      </x:c>
      <x:c r="P29" s="13" t="str">
        <x:v>Estafa complaint involving large amount and fraud</x:v>
      </x:c>
      <x:c r="Q29" s="13" t="str">
        <x:v>Added to balance 'penalty-over-1-year' to 49 examples using the same Justice KP label schema.</x:v>
      </x:c>
      <x:c r="R29" s="13" t="str">
        <x:v>Synthetic row based on category coverage gap from uploaded PDF</x:v>
      </x:c>
    </x:row>
    <x:row r="30" ht="36" customHeight="1">
      <x:c r="A30" s="13" t="str">
        <x:v>SYN-PEN1Y-019</x:v>
      </x:c>
      <x:c r="B30" s="13" t="str">
        <x:v>penalty-over-1-year</x:v>
      </x:c>
      <x:c r="C30" s="13" t="str">
        <x:v>Synthetic</x:v>
      </x:c>
      <x:c r="D30" s="13" t="str"/>
      <x:c r="E30" s="13" t="str">
        <x:v>Criminal</x:v>
      </x:c>
      <x:c r="F30" s="13" t="str">
        <x:v>Theft of electricity with damage to meter</x:v>
      </x:c>
      <x:c r="G30" s="13" t="str">
        <x:v>March 7, 2026</x:v>
      </x:c>
      <x:c r="H30" s="13" t="str">
        <x:v>-</x:v>
      </x:c>
      <x:c r="I30" s="13" t="str">
        <x:v>Synthetic example: alleged offense may exceed one-year penalty threshold; refer for legal/prosecutorial handling.</x:v>
      </x:c>
      <x:c r="J30" s="13" t="str">
        <x:v>Refer</x:v>
      </x:c>
      <x:c r="K30" s="13" t="str">
        <x:v>NON_KP_REFERRAL</x:v>
      </x:c>
      <x:c r="L30" s="13" t="str">
        <x:v>Not KP; penalty threshold exceeded</x:v>
      </x:c>
      <x:c r="M30" s="13" t="str">
        <x:v>Refer to PNP/prosecutor/court or proper authority</x:v>
      </x:c>
      <x:c r="N30" s="13" t="str">
        <x:v>Potential penalty exceeds the one-year KP threshold.</x:v>
      </x:c>
      <x:c r="O30" s="13" t="str">
        <x:v>Possible penalty 48 months</x:v>
      </x:c>
      <x:c r="P30" s="13" t="str">
        <x:v>Theft of electricity with damage to meter</x:v>
      </x:c>
      <x:c r="Q30" s="13" t="str">
        <x:v>Added to balance 'penalty-over-1-year' to 49 examples using the same Justice KP label schema.</x:v>
      </x:c>
      <x:c r="R30" s="13" t="str">
        <x:v>Synthetic row based on category coverage gap from uploaded PDF</x:v>
      </x:c>
    </x:row>
    <x:row r="31" ht="36" customHeight="1">
      <x:c r="A31" s="13" t="str">
        <x:v>SYN-PEN1Y-020</x:v>
      </x:c>
      <x:c r="B31" s="13" t="str">
        <x:v>penalty-over-1-year</x:v>
      </x:c>
      <x:c r="C31" s="13" t="str">
        <x:v>Synthetic</x:v>
      </x:c>
      <x:c r="D31" s="13" t="str"/>
      <x:c r="E31" s="13" t="str">
        <x:v>Criminal</x:v>
      </x:c>
      <x:c r="F31" s="13" t="str">
        <x:v>Malicious mischief with major property damage</x:v>
      </x:c>
      <x:c r="G31" s="13" t="str">
        <x:v>March 10, 2026</x:v>
      </x:c>
      <x:c r="H31" s="13" t="str">
        <x:v>-</x:v>
      </x:c>
      <x:c r="I31" s="13" t="str">
        <x:v>Synthetic example: alleged offense may exceed one-year penalty threshold; refer for legal/prosecutorial handling.</x:v>
      </x:c>
      <x:c r="J31" s="13" t="str">
        <x:v>Refer</x:v>
      </x:c>
      <x:c r="K31" s="13" t="str">
        <x:v>NON_KP_REFERRAL</x:v>
      </x:c>
      <x:c r="L31" s="13" t="str">
        <x:v>Not KP; penalty threshold exceeded</x:v>
      </x:c>
      <x:c r="M31" s="13" t="str">
        <x:v>Refer to PNP/prosecutor/court or proper authority</x:v>
      </x:c>
      <x:c r="N31" s="13" t="str">
        <x:v>Potential penalty exceeds the one-year KP threshold.</x:v>
      </x:c>
      <x:c r="O31" s="13" t="str">
        <x:v>Possible penalty 72 months</x:v>
      </x:c>
      <x:c r="P31" s="13" t="str">
        <x:v>Malicious mischief with major property damage</x:v>
      </x:c>
      <x:c r="Q31" s="13" t="str">
        <x:v>Added to balance 'penalty-over-1-year' to 49 examples using the same Justice KP label schema.</x:v>
      </x:c>
      <x:c r="R31" s="13" t="str">
        <x:v>Synthetic row based on category coverage gap from uploaded PDF</x:v>
      </x:c>
    </x:row>
    <x:row r="32" ht="36" customHeight="1">
      <x:c r="A32" s="13" t="str">
        <x:v>SYN-PEN1Y-021</x:v>
      </x:c>
      <x:c r="B32" s="13" t="str">
        <x:v>penalty-over-1-year</x:v>
      </x:c>
      <x:c r="C32" s="13" t="str">
        <x:v>Synthetic</x:v>
      </x:c>
      <x:c r="D32" s="13" t="str"/>
      <x:c r="E32" s="13" t="str">
        <x:v>Criminal</x:v>
      </x:c>
      <x:c r="F32" s="13" t="str">
        <x:v>Serious physical injury na may medical certificate at posibleng mabigat na parusa</x:v>
      </x:c>
      <x:c r="G32" s="13" t="str">
        <x:v>March 13, 2026</x:v>
      </x:c>
      <x:c r="H32" s="13" t="str">
        <x:v>-</x:v>
      </x:c>
      <x:c r="I32" s="13" t="str">
        <x:v>Synthetic example: alleged offense may exceed one-year penalty threshold; refer for legal/prosecutorial handling.</x:v>
      </x:c>
      <x:c r="J32" s="13" t="str">
        <x:v>Refer</x:v>
      </x:c>
      <x:c r="K32" s="13" t="str">
        <x:v>NON_KP_REFERRAL</x:v>
      </x:c>
      <x:c r="L32" s="13" t="str">
        <x:v>Not KP; penalty threshold exceeded</x:v>
      </x:c>
      <x:c r="M32" s="13" t="str">
        <x:v>Refer to PNP/prosecutor/court or proper authority</x:v>
      </x:c>
      <x:c r="N32" s="13" t="str">
        <x:v>Potential penalty exceeds the one-year KP threshold.</x:v>
      </x:c>
      <x:c r="O32" s="13" t="str">
        <x:v>Possible penalty 18 months</x:v>
      </x:c>
      <x:c r="P32" s="13" t="str">
        <x:v>Serious physical injury na may medical certificate at posibleng mabigat na parusa</x:v>
      </x:c>
      <x:c r="Q32" s="13" t="str">
        <x:v>Added to balance 'penalty-over-1-year' to 49 examples using the same Justice KP label schema.</x:v>
      </x:c>
      <x:c r="R32" s="13" t="str">
        <x:v>Synthetic row based on category coverage gap from uploaded PDF</x:v>
      </x:c>
    </x:row>
    <x:row r="33" ht="36" customHeight="1">
      <x:c r="A33" s="13" t="str">
        <x:v>SYN-PEN1Y-022</x:v>
      </x:c>
      <x:c r="B33" s="13" t="str">
        <x:v>penalty-over-1-year</x:v>
      </x:c>
      <x:c r="C33" s="13" t="str">
        <x:v>Synthetic</x:v>
      </x:c>
      <x:c r="D33" s="13" t="str"/>
      <x:c r="E33" s="13" t="str">
        <x:v>Criminal</x:v>
      </x:c>
      <x:c r="F33" s="13" t="str">
        <x:v>Pagnanakaw ng mamahaling gamit na lampas sa simpleng barangay dispute</x:v>
      </x:c>
      <x:c r="G33" s="13" t="str">
        <x:v>March 16, 2026</x:v>
      </x:c>
      <x:c r="H33" s="13" t="str">
        <x:v>-</x:v>
      </x:c>
      <x:c r="I33" s="13" t="str">
        <x:v>Synthetic example: alleged offense may exceed one-year penalty threshold; refer for legal/prosecutorial handling.</x:v>
      </x:c>
      <x:c r="J33" s="13" t="str">
        <x:v>Refer</x:v>
      </x:c>
      <x:c r="K33" s="13" t="str">
        <x:v>NON_KP_REFERRAL</x:v>
      </x:c>
      <x:c r="L33" s="13" t="str">
        <x:v>Not KP; penalty threshold exceeded</x:v>
      </x:c>
      <x:c r="M33" s="13" t="str">
        <x:v>Refer to PNP/prosecutor/court or proper authority</x:v>
      </x:c>
      <x:c r="N33" s="13" t="str">
        <x:v>Potential penalty exceeds the one-year KP threshold.</x:v>
      </x:c>
      <x:c r="O33" s="13" t="str">
        <x:v>Possible penalty 24 months</x:v>
      </x:c>
      <x:c r="P33" s="13" t="str">
        <x:v>Pagnanakaw ng mamahaling gamit na lampas sa simpleng barangay dispute</x:v>
      </x:c>
      <x:c r="Q33" s="13" t="str">
        <x:v>Added to balance 'penalty-over-1-year' to 49 examples using the same Justice KP label schema.</x:v>
      </x:c>
      <x:c r="R33" s="13" t="str">
        <x:v>Synthetic row based on category coverage gap from uploaded PDF</x:v>
      </x:c>
    </x:row>
    <x:row r="34" ht="36" customHeight="1">
      <x:c r="A34" s="13" t="str">
        <x:v>SYN-PEN1Y-023</x:v>
      </x:c>
      <x:c r="B34" s="13" t="str">
        <x:v>penalty-over-1-year</x:v>
      </x:c>
      <x:c r="C34" s="13" t="str">
        <x:v>Synthetic</x:v>
      </x:c>
      <x:c r="D34" s="13" t="str"/>
      <x:c r="E34" s="13" t="str">
        <x:v>Criminal</x:v>
      </x:c>
      <x:c r="F34" s="13" t="str">
        <x:v>Pananaksak o paggamit ng patalim sa away</x:v>
      </x:c>
      <x:c r="G34" s="13" t="str">
        <x:v>March 19, 2026</x:v>
      </x:c>
      <x:c r="H34" s="13" t="str">
        <x:v>-</x:v>
      </x:c>
      <x:c r="I34" s="13" t="str">
        <x:v>Synthetic example: alleged offense may exceed one-year penalty threshold; refer for legal/prosecutorial handling.</x:v>
      </x:c>
      <x:c r="J34" s="13" t="str">
        <x:v>Refer</x:v>
      </x:c>
      <x:c r="K34" s="13" t="str">
        <x:v>NON_KP_REFERRAL</x:v>
      </x:c>
      <x:c r="L34" s="13" t="str">
        <x:v>Not KP; penalty threshold exceeded</x:v>
      </x:c>
      <x:c r="M34" s="13" t="str">
        <x:v>Refer to PNP/prosecutor/court or proper authority</x:v>
      </x:c>
      <x:c r="N34" s="13" t="str">
        <x:v>Potential penalty exceeds the one-year KP threshold.</x:v>
      </x:c>
      <x:c r="O34" s="13" t="str">
        <x:v>Possible penalty 36 months</x:v>
      </x:c>
      <x:c r="P34" s="13" t="str">
        <x:v>Pananaksak o paggamit ng patalim sa away</x:v>
      </x:c>
      <x:c r="Q34" s="13" t="str">
        <x:v>Added to balance 'penalty-over-1-year' to 49 examples using the same Justice KP label schema.</x:v>
      </x:c>
      <x:c r="R34" s="13" t="str">
        <x:v>Synthetic row based on category coverage gap from uploaded PDF</x:v>
      </x:c>
    </x:row>
    <x:row r="35" ht="36" customHeight="1">
      <x:c r="A35" s="13" t="str">
        <x:v>SYN-PEN1Y-024</x:v>
      </x:c>
      <x:c r="B35" s="13" t="str">
        <x:v>penalty-over-1-year</x:v>
      </x:c>
      <x:c r="C35" s="13" t="str">
        <x:v>Synthetic</x:v>
      </x:c>
      <x:c r="D35" s="13" t="str"/>
      <x:c r="E35" s="13" t="str">
        <x:v>Criminal</x:v>
      </x:c>
      <x:c r="F35" s="13" t="str">
        <x:v>Falsification of public document complaint</x:v>
      </x:c>
      <x:c r="G35" s="13" t="str">
        <x:v>March 22, 2026</x:v>
      </x:c>
      <x:c r="H35" s="13" t="str">
        <x:v>-</x:v>
      </x:c>
      <x:c r="I35" s="13" t="str">
        <x:v>Synthetic example: alleged offense may exceed one-year penalty threshold; refer for legal/prosecutorial handling.</x:v>
      </x:c>
      <x:c r="J35" s="13" t="str">
        <x:v>Refer</x:v>
      </x:c>
      <x:c r="K35" s="13" t="str">
        <x:v>NON_KP_REFERRAL</x:v>
      </x:c>
      <x:c r="L35" s="13" t="str">
        <x:v>Not KP; penalty threshold exceeded</x:v>
      </x:c>
      <x:c r="M35" s="13" t="str">
        <x:v>Refer to PNP/prosecutor/court or proper authority</x:v>
      </x:c>
      <x:c r="N35" s="13" t="str">
        <x:v>Potential penalty exceeds the one-year KP threshold.</x:v>
      </x:c>
      <x:c r="O35" s="13" t="str">
        <x:v>Possible penalty 48 months</x:v>
      </x:c>
      <x:c r="P35" s="13" t="str">
        <x:v>Falsification of public document complaint</x:v>
      </x:c>
      <x:c r="Q35" s="13" t="str">
        <x:v>Added to balance 'penalty-over-1-year' to 49 examples using the same Justice KP label schema.</x:v>
      </x:c>
      <x:c r="R35" s="13" t="str">
        <x:v>Synthetic row based on category coverage gap from uploaded PDF</x:v>
      </x:c>
    </x:row>
    <x:row r="36" ht="36" customHeight="1">
      <x:c r="A36" s="13" t="str">
        <x:v>SYN-PEN1Y-025</x:v>
      </x:c>
      <x:c r="B36" s="13" t="str">
        <x:v>penalty-over-1-year</x:v>
      </x:c>
      <x:c r="C36" s="13" t="str">
        <x:v>Synthetic</x:v>
      </x:c>
      <x:c r="D36" s="13" t="str"/>
      <x:c r="E36" s="13" t="str">
        <x:v>Criminal</x:v>
      </x:c>
      <x:c r="F36" s="13" t="str">
        <x:v>Robbery complaint involving force or intimidation</x:v>
      </x:c>
      <x:c r="G36" s="13" t="str">
        <x:v>March 25, 2026</x:v>
      </x:c>
      <x:c r="H36" s="13" t="str">
        <x:v>-</x:v>
      </x:c>
      <x:c r="I36" s="13" t="str">
        <x:v>Synthetic example: alleged offense may exceed one-year penalty threshold; refer for legal/prosecutorial handling.</x:v>
      </x:c>
      <x:c r="J36" s="13" t="str">
        <x:v>Refer</x:v>
      </x:c>
      <x:c r="K36" s="13" t="str">
        <x:v>NON_KP_REFERRAL</x:v>
      </x:c>
      <x:c r="L36" s="13" t="str">
        <x:v>Not KP; penalty threshold exceeded</x:v>
      </x:c>
      <x:c r="M36" s="13" t="str">
        <x:v>Refer to PNP/prosecutor/court or proper authority</x:v>
      </x:c>
      <x:c r="N36" s="13" t="str">
        <x:v>Potential penalty exceeds the one-year KP threshold.</x:v>
      </x:c>
      <x:c r="O36" s="13" t="str">
        <x:v>Possible penalty 72 months</x:v>
      </x:c>
      <x:c r="P36" s="13" t="str">
        <x:v>Robbery complaint involving force or intimidation</x:v>
      </x:c>
      <x:c r="Q36" s="13" t="str">
        <x:v>Added to balance 'penalty-over-1-year' to 49 examples using the same Justice KP label schema.</x:v>
      </x:c>
      <x:c r="R36" s="13" t="str">
        <x:v>Synthetic row based on category coverage gap from uploaded PDF</x:v>
      </x:c>
    </x:row>
    <x:row r="37" ht="36" customHeight="1">
      <x:c r="A37" s="13" t="str">
        <x:v>SYN-PEN1Y-026</x:v>
      </x:c>
      <x:c r="B37" s="13" t="str">
        <x:v>penalty-over-1-year</x:v>
      </x:c>
      <x:c r="C37" s="13" t="str">
        <x:v>Synthetic</x:v>
      </x:c>
      <x:c r="D37" s="13" t="str"/>
      <x:c r="E37" s="13" t="str">
        <x:v>Criminal</x:v>
      </x:c>
      <x:c r="F37" s="13" t="str">
        <x:v>Serious threats involving arson or deadly weapon</x:v>
      </x:c>
      <x:c r="G37" s="13" t="str">
        <x:v>March 28, 2026</x:v>
      </x:c>
      <x:c r="H37" s="13" t="str">
        <x:v>-</x:v>
      </x:c>
      <x:c r="I37" s="13" t="str">
        <x:v>Synthetic example: alleged offense may exceed one-year penalty threshold; refer for legal/prosecutorial handling.</x:v>
      </x:c>
      <x:c r="J37" s="13" t="str">
        <x:v>Refer</x:v>
      </x:c>
      <x:c r="K37" s="13" t="str">
        <x:v>NON_KP_REFERRAL</x:v>
      </x:c>
      <x:c r="L37" s="13" t="str">
        <x:v>Not KP; penalty threshold exceeded</x:v>
      </x:c>
      <x:c r="M37" s="13" t="str">
        <x:v>Refer to PNP/prosecutor/court or proper authority</x:v>
      </x:c>
      <x:c r="N37" s="13" t="str">
        <x:v>Potential penalty exceeds the one-year KP threshold.</x:v>
      </x:c>
      <x:c r="O37" s="13" t="str">
        <x:v>Possible penalty 18 months</x:v>
      </x:c>
      <x:c r="P37" s="13" t="str">
        <x:v>Serious threats involving arson or deadly weapon</x:v>
      </x:c>
      <x:c r="Q37" s="13" t="str">
        <x:v>Added to balance 'penalty-over-1-year' to 49 examples using the same Justice KP label schema.</x:v>
      </x:c>
      <x:c r="R37" s="13" t="str">
        <x:v>Synthetic row based on category coverage gap from uploaded PDF</x:v>
      </x:c>
    </x:row>
    <x:row r="38" ht="36" customHeight="1">
      <x:c r="A38" s="13" t="str">
        <x:v>SYN-PEN1Y-027</x:v>
      </x:c>
      <x:c r="B38" s="13" t="str">
        <x:v>penalty-over-1-year</x:v>
      </x:c>
      <x:c r="C38" s="13" t="str">
        <x:v>Synthetic</x:v>
      </x:c>
      <x:c r="D38" s="13" t="str"/>
      <x:c r="E38" s="13" t="str">
        <x:v>Criminal</x:v>
      </x:c>
      <x:c r="F38" s="13" t="str">
        <x:v>Qualified trespass with damage to property</x:v>
      </x:c>
      <x:c r="G38" s="13" t="str">
        <x:v>March 31, 2026</x:v>
      </x:c>
      <x:c r="H38" s="13" t="str">
        <x:v>-</x:v>
      </x:c>
      <x:c r="I38" s="13" t="str">
        <x:v>Synthetic example: alleged offense may exceed one-year penalty threshold; refer for legal/prosecutorial handling.</x:v>
      </x:c>
      <x:c r="J38" s="13" t="str">
        <x:v>Refer</x:v>
      </x:c>
      <x:c r="K38" s="13" t="str">
        <x:v>NON_KP_REFERRAL</x:v>
      </x:c>
      <x:c r="L38" s="13" t="str">
        <x:v>Not KP; penalty threshold exceeded</x:v>
      </x:c>
      <x:c r="M38" s="13" t="str">
        <x:v>Refer to PNP/prosecutor/court or proper authority</x:v>
      </x:c>
      <x:c r="N38" s="13" t="str">
        <x:v>Potential penalty exceeds the one-year KP threshold.</x:v>
      </x:c>
      <x:c r="O38" s="13" t="str">
        <x:v>Possible penalty 24 months</x:v>
      </x:c>
      <x:c r="P38" s="13" t="str">
        <x:v>Qualified trespass with damage to property</x:v>
      </x:c>
      <x:c r="Q38" s="13" t="str">
        <x:v>Added to balance 'penalty-over-1-year' to 49 examples using the same Justice KP label schema.</x:v>
      </x:c>
      <x:c r="R38" s="13" t="str">
        <x:v>Synthetic row based on category coverage gap from uploaded PDF</x:v>
      </x:c>
    </x:row>
    <x:row r="39" ht="36" customHeight="1">
      <x:c r="A39" s="13" t="str">
        <x:v>SYN-PEN1Y-028</x:v>
      </x:c>
      <x:c r="B39" s="13" t="str">
        <x:v>penalty-over-1-year</x:v>
      </x:c>
      <x:c r="C39" s="13" t="str">
        <x:v>Synthetic</x:v>
      </x:c>
      <x:c r="D39" s="13" t="str"/>
      <x:c r="E39" s="13" t="str">
        <x:v>Criminal</x:v>
      </x:c>
      <x:c r="F39" s="13" t="str">
        <x:v>Estafa complaint involving large amount and fraud</x:v>
      </x:c>
      <x:c r="G39" s="13" t="str">
        <x:v>April 3, 2026</x:v>
      </x:c>
      <x:c r="H39" s="13" t="str">
        <x:v>-</x:v>
      </x:c>
      <x:c r="I39" s="13" t="str">
        <x:v>Synthetic example: alleged offense may exceed one-year penalty threshold; refer for legal/prosecutorial handling.</x:v>
      </x:c>
      <x:c r="J39" s="13" t="str">
        <x:v>Refer</x:v>
      </x:c>
      <x:c r="K39" s="13" t="str">
        <x:v>NON_KP_REFERRAL</x:v>
      </x:c>
      <x:c r="L39" s="13" t="str">
        <x:v>Not KP; penalty threshold exceeded</x:v>
      </x:c>
      <x:c r="M39" s="13" t="str">
        <x:v>Refer to PNP/prosecutor/court or proper authority</x:v>
      </x:c>
      <x:c r="N39" s="13" t="str">
        <x:v>Potential penalty exceeds the one-year KP threshold.</x:v>
      </x:c>
      <x:c r="O39" s="13" t="str">
        <x:v>Possible penalty 36 months</x:v>
      </x:c>
      <x:c r="P39" s="13" t="str">
        <x:v>Estafa complaint involving large amount and fraud</x:v>
      </x:c>
      <x:c r="Q39" s="13" t="str">
        <x:v>Added to balance 'penalty-over-1-year' to 49 examples using the same Justice KP label schema.</x:v>
      </x:c>
      <x:c r="R39" s="13" t="str">
        <x:v>Synthetic row based on category coverage gap from uploaded PDF</x:v>
      </x:c>
    </x:row>
    <x:row r="40" ht="36" customHeight="1">
      <x:c r="A40" s="13" t="str">
        <x:v>SYN-PEN1Y-029</x:v>
      </x:c>
      <x:c r="B40" s="13" t="str">
        <x:v>penalty-over-1-year</x:v>
      </x:c>
      <x:c r="C40" s="13" t="str">
        <x:v>Synthetic</x:v>
      </x:c>
      <x:c r="D40" s="13" t="str"/>
      <x:c r="E40" s="13" t="str">
        <x:v>Criminal</x:v>
      </x:c>
      <x:c r="F40" s="13" t="str">
        <x:v>Theft of electricity with damage to meter</x:v>
      </x:c>
      <x:c r="G40" s="13" t="str">
        <x:v>April 6, 2026</x:v>
      </x:c>
      <x:c r="H40" s="13" t="str">
        <x:v>-</x:v>
      </x:c>
      <x:c r="I40" s="13" t="str">
        <x:v>Synthetic example: alleged offense may exceed one-year penalty threshold; refer for legal/prosecutorial handling.</x:v>
      </x:c>
      <x:c r="J40" s="13" t="str">
        <x:v>Refer</x:v>
      </x:c>
      <x:c r="K40" s="13" t="str">
        <x:v>NON_KP_REFERRAL</x:v>
      </x:c>
      <x:c r="L40" s="13" t="str">
        <x:v>Not KP; penalty threshold exceeded</x:v>
      </x:c>
      <x:c r="M40" s="13" t="str">
        <x:v>Refer to PNP/prosecutor/court or proper authority</x:v>
      </x:c>
      <x:c r="N40" s="13" t="str">
        <x:v>Potential penalty exceeds the one-year KP threshold.</x:v>
      </x:c>
      <x:c r="O40" s="13" t="str">
        <x:v>Possible penalty 48 months</x:v>
      </x:c>
      <x:c r="P40" s="13" t="str">
        <x:v>Theft of electricity with damage to meter</x:v>
      </x:c>
      <x:c r="Q40" s="13" t="str">
        <x:v>Added to balance 'penalty-over-1-year' to 49 examples using the same Justice KP label schema.</x:v>
      </x:c>
      <x:c r="R40" s="13" t="str">
        <x:v>Synthetic row based on category coverage gap from uploaded PDF</x:v>
      </x:c>
    </x:row>
    <x:row r="41" ht="36" customHeight="1">
      <x:c r="A41" s="13" t="str">
        <x:v>SYN-PEN1Y-030</x:v>
      </x:c>
      <x:c r="B41" s="13" t="str">
        <x:v>penalty-over-1-year</x:v>
      </x:c>
      <x:c r="C41" s="13" t="str">
        <x:v>Synthetic</x:v>
      </x:c>
      <x:c r="D41" s="13" t="str"/>
      <x:c r="E41" s="13" t="str">
        <x:v>Criminal</x:v>
      </x:c>
      <x:c r="F41" s="13" t="str">
        <x:v>Malicious mischief with major property damage</x:v>
      </x:c>
      <x:c r="G41" s="13" t="str">
        <x:v>April 9, 2026</x:v>
      </x:c>
      <x:c r="H41" s="13" t="str">
        <x:v>-</x:v>
      </x:c>
      <x:c r="I41" s="13" t="str">
        <x:v>Synthetic example: alleged offense may exceed one-year penalty threshold; refer for legal/prosecutorial handling.</x:v>
      </x:c>
      <x:c r="J41" s="13" t="str">
        <x:v>Refer</x:v>
      </x:c>
      <x:c r="K41" s="13" t="str">
        <x:v>NON_KP_REFERRAL</x:v>
      </x:c>
      <x:c r="L41" s="13" t="str">
        <x:v>Not KP; penalty threshold exceeded</x:v>
      </x:c>
      <x:c r="M41" s="13" t="str">
        <x:v>Refer to PNP/prosecutor/court or proper authority</x:v>
      </x:c>
      <x:c r="N41" s="13" t="str">
        <x:v>Potential penalty exceeds the one-year KP threshold.</x:v>
      </x:c>
      <x:c r="O41" s="13" t="str">
        <x:v>Possible penalty 72 months</x:v>
      </x:c>
      <x:c r="P41" s="13" t="str">
        <x:v>Malicious mischief with major property damage</x:v>
      </x:c>
      <x:c r="Q41" s="13" t="str">
        <x:v>Added to balance 'penalty-over-1-year' to 49 examples using the same Justice KP label schema.</x:v>
      </x:c>
      <x:c r="R41" s="13" t="str">
        <x:v>Synthetic row based on category coverage gap from uploaded PDF</x:v>
      </x:c>
    </x:row>
    <x:row r="42" ht="36" customHeight="1">
      <x:c r="A42" s="13" t="str">
        <x:v>SYN-PEN1Y-031</x:v>
      </x:c>
      <x:c r="B42" s="13" t="str">
        <x:v>penalty-over-1-year</x:v>
      </x:c>
      <x:c r="C42" s="13" t="str">
        <x:v>Synthetic</x:v>
      </x:c>
      <x:c r="D42" s="13" t="str"/>
      <x:c r="E42" s="13" t="str">
        <x:v>Criminal</x:v>
      </x:c>
      <x:c r="F42" s="13" t="str">
        <x:v>Serious physical injury na may medical certificate at posibleng mabigat na parusa</x:v>
      </x:c>
      <x:c r="G42" s="13" t="str">
        <x:v>April 12, 2026</x:v>
      </x:c>
      <x:c r="H42" s="13" t="str">
        <x:v>-</x:v>
      </x:c>
      <x:c r="I42" s="13" t="str">
        <x:v>Synthetic example: alleged offense may exceed one-year penalty threshold; refer for legal/prosecutorial handling.</x:v>
      </x:c>
      <x:c r="J42" s="13" t="str">
        <x:v>Refer</x:v>
      </x:c>
      <x:c r="K42" s="13" t="str">
        <x:v>NON_KP_REFERRAL</x:v>
      </x:c>
      <x:c r="L42" s="13" t="str">
        <x:v>Not KP; penalty threshold exceeded</x:v>
      </x:c>
      <x:c r="M42" s="13" t="str">
        <x:v>Refer to PNP/prosecutor/court or proper authority</x:v>
      </x:c>
      <x:c r="N42" s="13" t="str">
        <x:v>Potential penalty exceeds the one-year KP threshold.</x:v>
      </x:c>
      <x:c r="O42" s="13" t="str">
        <x:v>Possible penalty 18 months</x:v>
      </x:c>
      <x:c r="P42" s="13" t="str">
        <x:v>Serious physical injury na may medical certificate at posibleng mabigat na parusa</x:v>
      </x:c>
      <x:c r="Q42" s="13" t="str">
        <x:v>Added to balance 'penalty-over-1-year' to 49 examples using the same Justice KP label schema.</x:v>
      </x:c>
      <x:c r="R42" s="13" t="str">
        <x:v>Synthetic row based on category coverage gap from uploaded PDF</x:v>
      </x:c>
    </x:row>
    <x:row r="43" ht="36" customHeight="1">
      <x:c r="A43" s="13" t="str">
        <x:v>SYN-PEN1Y-032</x:v>
      </x:c>
      <x:c r="B43" s="13" t="str">
        <x:v>penalty-over-1-year</x:v>
      </x:c>
      <x:c r="C43" s="13" t="str">
        <x:v>Synthetic</x:v>
      </x:c>
      <x:c r="D43" s="13" t="str"/>
      <x:c r="E43" s="13" t="str">
        <x:v>Criminal</x:v>
      </x:c>
      <x:c r="F43" s="13" t="str">
        <x:v>Pagnanakaw ng mamahaling gamit na lampas sa simpleng barangay dispute</x:v>
      </x:c>
      <x:c r="G43" s="13" t="str">
        <x:v>April 15, 2026</x:v>
      </x:c>
      <x:c r="H43" s="13" t="str">
        <x:v>-</x:v>
      </x:c>
      <x:c r="I43" s="13" t="str">
        <x:v>Synthetic example: alleged offense may exceed one-year penalty threshold; refer for legal/prosecutorial handling.</x:v>
      </x:c>
      <x:c r="J43" s="13" t="str">
        <x:v>Refer</x:v>
      </x:c>
      <x:c r="K43" s="13" t="str">
        <x:v>NON_KP_REFERRAL</x:v>
      </x:c>
      <x:c r="L43" s="13" t="str">
        <x:v>Not KP; penalty threshold exceeded</x:v>
      </x:c>
      <x:c r="M43" s="13" t="str">
        <x:v>Refer to PNP/prosecutor/court or proper authority</x:v>
      </x:c>
      <x:c r="N43" s="13" t="str">
        <x:v>Potential penalty exceeds the one-year KP threshold.</x:v>
      </x:c>
      <x:c r="O43" s="13" t="str">
        <x:v>Possible penalty 24 months</x:v>
      </x:c>
      <x:c r="P43" s="13" t="str">
        <x:v>Pagnanakaw ng mamahaling gamit na lampas sa simpleng barangay dispute</x:v>
      </x:c>
      <x:c r="Q43" s="13" t="str">
        <x:v>Added to balance 'penalty-over-1-year' to 49 examples using the same Justice KP label schema.</x:v>
      </x:c>
      <x:c r="R43" s="13" t="str">
        <x:v>Synthetic row based on category coverage gap from uploaded PDF</x:v>
      </x:c>
    </x:row>
    <x:row r="44" ht="36" customHeight="1">
      <x:c r="A44" s="13" t="str">
        <x:v>SYN-PEN1Y-033</x:v>
      </x:c>
      <x:c r="B44" s="13" t="str">
        <x:v>penalty-over-1-year</x:v>
      </x:c>
      <x:c r="C44" s="13" t="str">
        <x:v>Synthetic</x:v>
      </x:c>
      <x:c r="D44" s="13" t="str"/>
      <x:c r="E44" s="13" t="str">
        <x:v>Criminal</x:v>
      </x:c>
      <x:c r="F44" s="13" t="str">
        <x:v>Pananaksak o paggamit ng patalim sa away</x:v>
      </x:c>
      <x:c r="G44" s="13" t="str">
        <x:v>April 18, 2026</x:v>
      </x:c>
      <x:c r="H44" s="13" t="str">
        <x:v>-</x:v>
      </x:c>
      <x:c r="I44" s="13" t="str">
        <x:v>Synthetic example: alleged offense may exceed one-year penalty threshold; refer for legal/prosecutorial handling.</x:v>
      </x:c>
      <x:c r="J44" s="13" t="str">
        <x:v>Refer</x:v>
      </x:c>
      <x:c r="K44" s="13" t="str">
        <x:v>NON_KP_REFERRAL</x:v>
      </x:c>
      <x:c r="L44" s="13" t="str">
        <x:v>Not KP; penalty threshold exceeded</x:v>
      </x:c>
      <x:c r="M44" s="13" t="str">
        <x:v>Refer to PNP/prosecutor/court or proper authority</x:v>
      </x:c>
      <x:c r="N44" s="13" t="str">
        <x:v>Potential penalty exceeds the one-year KP threshold.</x:v>
      </x:c>
      <x:c r="O44" s="13" t="str">
        <x:v>Possible penalty 36 months</x:v>
      </x:c>
      <x:c r="P44" s="13" t="str">
        <x:v>Pananaksak o paggamit ng patalim sa away</x:v>
      </x:c>
      <x:c r="Q44" s="13" t="str">
        <x:v>Added to balance 'penalty-over-1-year' to 49 examples using the same Justice KP label schema.</x:v>
      </x:c>
      <x:c r="R44" s="13" t="str">
        <x:v>Synthetic row based on category coverage gap from uploaded PDF</x:v>
      </x:c>
    </x:row>
    <x:row r="45" ht="36" customHeight="1">
      <x:c r="A45" s="13" t="str">
        <x:v>SYN-PEN1Y-034</x:v>
      </x:c>
      <x:c r="B45" s="13" t="str">
        <x:v>penalty-over-1-year</x:v>
      </x:c>
      <x:c r="C45" s="13" t="str">
        <x:v>Synthetic</x:v>
      </x:c>
      <x:c r="D45" s="13" t="str"/>
      <x:c r="E45" s="13" t="str">
        <x:v>Criminal</x:v>
      </x:c>
      <x:c r="F45" s="13" t="str">
        <x:v>Falsification of public document complaint</x:v>
      </x:c>
      <x:c r="G45" s="13" t="str">
        <x:v>April 21, 2026</x:v>
      </x:c>
      <x:c r="H45" s="13" t="str">
        <x:v>-</x:v>
      </x:c>
      <x:c r="I45" s="13" t="str">
        <x:v>Synthetic example: alleged offense may exceed one-year penalty threshold; refer for legal/prosecutorial handling.</x:v>
      </x:c>
      <x:c r="J45" s="13" t="str">
        <x:v>Refer</x:v>
      </x:c>
      <x:c r="K45" s="13" t="str">
        <x:v>NON_KP_REFERRAL</x:v>
      </x:c>
      <x:c r="L45" s="13" t="str">
        <x:v>Not KP; penalty threshold exceeded</x:v>
      </x:c>
      <x:c r="M45" s="13" t="str">
        <x:v>Refer to PNP/prosecutor/court or proper authority</x:v>
      </x:c>
      <x:c r="N45" s="13" t="str">
        <x:v>Potential penalty exceeds the one-year KP threshold.</x:v>
      </x:c>
      <x:c r="O45" s="13" t="str">
        <x:v>Possible penalty 48 months</x:v>
      </x:c>
      <x:c r="P45" s="13" t="str">
        <x:v>Falsification of public document complaint</x:v>
      </x:c>
      <x:c r="Q45" s="13" t="str">
        <x:v>Added to balance 'penalty-over-1-year' to 49 examples using the same Justice KP label schema.</x:v>
      </x:c>
      <x:c r="R45" s="13" t="str">
        <x:v>Synthetic row based on category coverage gap from uploaded PDF</x:v>
      </x:c>
    </x:row>
    <x:row r="46" ht="36" customHeight="1">
      <x:c r="A46" s="13" t="str">
        <x:v>SYN-PEN1Y-035</x:v>
      </x:c>
      <x:c r="B46" s="13" t="str">
        <x:v>penalty-over-1-year</x:v>
      </x:c>
      <x:c r="C46" s="13" t="str">
        <x:v>Synthetic</x:v>
      </x:c>
      <x:c r="D46" s="13" t="str"/>
      <x:c r="E46" s="13" t="str">
        <x:v>Criminal</x:v>
      </x:c>
      <x:c r="F46" s="13" t="str">
        <x:v>Robbery complaint involving force or intimidation</x:v>
      </x:c>
      <x:c r="G46" s="13" t="str">
        <x:v>April 24, 2026</x:v>
      </x:c>
      <x:c r="H46" s="13" t="str">
        <x:v>-</x:v>
      </x:c>
      <x:c r="I46" s="13" t="str">
        <x:v>Synthetic example: alleged offense may exceed one-year penalty threshold; refer for legal/prosecutorial handling.</x:v>
      </x:c>
      <x:c r="J46" s="13" t="str">
        <x:v>Refer</x:v>
      </x:c>
      <x:c r="K46" s="13" t="str">
        <x:v>NON_KP_REFERRAL</x:v>
      </x:c>
      <x:c r="L46" s="13" t="str">
        <x:v>Not KP; penalty threshold exceeded</x:v>
      </x:c>
      <x:c r="M46" s="13" t="str">
        <x:v>Refer to PNP/prosecutor/court or proper authority</x:v>
      </x:c>
      <x:c r="N46" s="13" t="str">
        <x:v>Potential penalty exceeds the one-year KP threshold.</x:v>
      </x:c>
      <x:c r="O46" s="13" t="str">
        <x:v>Possible penalty 72 months</x:v>
      </x:c>
      <x:c r="P46" s="13" t="str">
        <x:v>Robbery complaint involving force or intimidation</x:v>
      </x:c>
      <x:c r="Q46" s="13" t="str">
        <x:v>Added to balance 'penalty-over-1-year' to 49 examples using the same Justice KP label schema.</x:v>
      </x:c>
      <x:c r="R46" s="13" t="str">
        <x:v>Synthetic row based on category coverage gap from uploaded PDF</x:v>
      </x:c>
    </x:row>
    <x:row r="47" ht="36" customHeight="1">
      <x:c r="A47" s="13" t="str">
        <x:v>SYN-PEN1Y-036</x:v>
      </x:c>
      <x:c r="B47" s="13" t="str">
        <x:v>penalty-over-1-year</x:v>
      </x:c>
      <x:c r="C47" s="13" t="str">
        <x:v>Synthetic</x:v>
      </x:c>
      <x:c r="D47" s="13" t="str"/>
      <x:c r="E47" s="13" t="str">
        <x:v>Criminal</x:v>
      </x:c>
      <x:c r="F47" s="13" t="str">
        <x:v>Serious threats involving arson or deadly weapon</x:v>
      </x:c>
      <x:c r="G47" s="13" t="str">
        <x:v>April 27, 2026</x:v>
      </x:c>
      <x:c r="H47" s="13" t="str">
        <x:v>-</x:v>
      </x:c>
      <x:c r="I47" s="13" t="str">
        <x:v>Synthetic example: alleged offense may exceed one-year penalty threshold; refer for legal/prosecutorial handling.</x:v>
      </x:c>
      <x:c r="J47" s="13" t="str">
        <x:v>Refer</x:v>
      </x:c>
      <x:c r="K47" s="13" t="str">
        <x:v>NON_KP_REFERRAL</x:v>
      </x:c>
      <x:c r="L47" s="13" t="str">
        <x:v>Not KP; penalty threshold exceeded</x:v>
      </x:c>
      <x:c r="M47" s="13" t="str">
        <x:v>Refer to PNP/prosecutor/court or proper authority</x:v>
      </x:c>
      <x:c r="N47" s="13" t="str">
        <x:v>Potential penalty exceeds the one-year KP threshold.</x:v>
      </x:c>
      <x:c r="O47" s="13" t="str">
        <x:v>Possible penalty 18 months</x:v>
      </x:c>
      <x:c r="P47" s="13" t="str">
        <x:v>Serious threats involving arson or deadly weapon</x:v>
      </x:c>
      <x:c r="Q47" s="13" t="str">
        <x:v>Added to balance 'penalty-over-1-year' to 49 examples using the same Justice KP label schema.</x:v>
      </x:c>
      <x:c r="R47" s="13" t="str">
        <x:v>Synthetic row based on category coverage gap from uploaded PDF</x:v>
      </x:c>
    </x:row>
    <x:row r="48" ht="36" customHeight="1">
      <x:c r="A48" s="13" t="str">
        <x:v>SYN-PEN1Y-037</x:v>
      </x:c>
      <x:c r="B48" s="13" t="str">
        <x:v>penalty-over-1-year</x:v>
      </x:c>
      <x:c r="C48" s="13" t="str">
        <x:v>Synthetic</x:v>
      </x:c>
      <x:c r="D48" s="13" t="str"/>
      <x:c r="E48" s="13" t="str">
        <x:v>Criminal</x:v>
      </x:c>
      <x:c r="F48" s="13" t="str">
        <x:v>Qualified trespass with damage to property</x:v>
      </x:c>
      <x:c r="G48" s="13" t="str">
        <x:v>April 30, 2026</x:v>
      </x:c>
      <x:c r="H48" s="13" t="str">
        <x:v>-</x:v>
      </x:c>
      <x:c r="I48" s="13" t="str">
        <x:v>Synthetic example: alleged offense may exceed one-year penalty threshold; refer for legal/prosecutorial handling.</x:v>
      </x:c>
      <x:c r="J48" s="13" t="str">
        <x:v>Refer</x:v>
      </x:c>
      <x:c r="K48" s="13" t="str">
        <x:v>NON_KP_REFERRAL</x:v>
      </x:c>
      <x:c r="L48" s="13" t="str">
        <x:v>Not KP; penalty threshold exceeded</x:v>
      </x:c>
      <x:c r="M48" s="13" t="str">
        <x:v>Refer to PNP/prosecutor/court or proper authority</x:v>
      </x:c>
      <x:c r="N48" s="13" t="str">
        <x:v>Potential penalty exceeds the one-year KP threshold.</x:v>
      </x:c>
      <x:c r="O48" s="13" t="str">
        <x:v>Possible penalty 24 months</x:v>
      </x:c>
      <x:c r="P48" s="13" t="str">
        <x:v>Qualified trespass with damage to property</x:v>
      </x:c>
      <x:c r="Q48" s="13" t="str">
        <x:v>Added to balance 'penalty-over-1-year' to 49 examples using the same Justice KP label schema.</x:v>
      </x:c>
      <x:c r="R48" s="13" t="str">
        <x:v>Synthetic row based on category coverage gap from uploaded PDF</x:v>
      </x:c>
    </x:row>
    <x:row r="49" ht="36" customHeight="1">
      <x:c r="A49" s="13" t="str">
        <x:v>SYN-PEN1Y-038</x:v>
      </x:c>
      <x:c r="B49" s="13" t="str">
        <x:v>penalty-over-1-year</x:v>
      </x:c>
      <x:c r="C49" s="13" t="str">
        <x:v>Synthetic</x:v>
      </x:c>
      <x:c r="D49" s="13" t="str"/>
      <x:c r="E49" s="13" t="str">
        <x:v>Criminal</x:v>
      </x:c>
      <x:c r="F49" s="13" t="str">
        <x:v>Estafa complaint involving large amount and fraud</x:v>
      </x:c>
      <x:c r="G49" s="13" t="str">
        <x:v>May 3, 2026</x:v>
      </x:c>
      <x:c r="H49" s="13" t="str">
        <x:v>-</x:v>
      </x:c>
      <x:c r="I49" s="13" t="str">
        <x:v>Synthetic example: alleged offense may exceed one-year penalty threshold; refer for legal/prosecutorial handling.</x:v>
      </x:c>
      <x:c r="J49" s="13" t="str">
        <x:v>Refer</x:v>
      </x:c>
      <x:c r="K49" s="13" t="str">
        <x:v>NON_KP_REFERRAL</x:v>
      </x:c>
      <x:c r="L49" s="13" t="str">
        <x:v>Not KP; penalty threshold exceeded</x:v>
      </x:c>
      <x:c r="M49" s="13" t="str">
        <x:v>Refer to PNP/prosecutor/court or proper authority</x:v>
      </x:c>
      <x:c r="N49" s="13" t="str">
        <x:v>Potential penalty exceeds the one-year KP threshold.</x:v>
      </x:c>
      <x:c r="O49" s="13" t="str">
        <x:v>Possible penalty 36 months</x:v>
      </x:c>
      <x:c r="P49" s="13" t="str">
        <x:v>Estafa complaint involving large amount and fraud</x:v>
      </x:c>
      <x:c r="Q49" s="13" t="str">
        <x:v>Added to balance 'penalty-over-1-year' to 49 examples using the same Justice KP label schema.</x:v>
      </x:c>
      <x:c r="R49" s="13" t="str">
        <x:v>Synthetic row based on category coverage gap from uploaded PDF</x:v>
      </x:c>
    </x:row>
    <x:row r="50" ht="36" customHeight="1">
      <x:c r="A50" s="13" t="str">
        <x:v>SYN-PEN1Y-039</x:v>
      </x:c>
      <x:c r="B50" s="13" t="str">
        <x:v>penalty-over-1-year</x:v>
      </x:c>
      <x:c r="C50" s="13" t="str">
        <x:v>Synthetic</x:v>
      </x:c>
      <x:c r="D50" s="13" t="str"/>
      <x:c r="E50" s="13" t="str">
        <x:v>Criminal</x:v>
      </x:c>
      <x:c r="F50" s="13" t="str">
        <x:v>Theft of electricity with damage to meter</x:v>
      </x:c>
      <x:c r="G50" s="13" t="str">
        <x:v>May 6, 2026</x:v>
      </x:c>
      <x:c r="H50" s="13" t="str">
        <x:v>-</x:v>
      </x:c>
      <x:c r="I50" s="13" t="str">
        <x:v>Synthetic example: alleged offense may exceed one-year penalty threshold; refer for legal/prosecutorial handling.</x:v>
      </x:c>
      <x:c r="J50" s="13" t="str">
        <x:v>Refer</x:v>
      </x:c>
      <x:c r="K50" s="13" t="str">
        <x:v>NON_KP_REFERRAL</x:v>
      </x:c>
      <x:c r="L50" s="13" t="str">
        <x:v>Not KP; penalty threshold exceeded</x:v>
      </x:c>
      <x:c r="M50" s="13" t="str">
        <x:v>Refer to PNP/prosecutor/court or proper authority</x:v>
      </x:c>
      <x:c r="N50" s="13" t="str">
        <x:v>Potential penalty exceeds the one-year KP threshold.</x:v>
      </x:c>
      <x:c r="O50" s="13" t="str">
        <x:v>Possible penalty 48 months</x:v>
      </x:c>
      <x:c r="P50" s="13" t="str">
        <x:v>Theft of electricity with damage to meter</x:v>
      </x:c>
      <x:c r="Q50" s="13" t="str">
        <x:v>Added to balance 'penalty-over-1-year' to 49 examples using the same Justice KP label schema.</x:v>
      </x:c>
      <x:c r="R50" s="13" t="str">
        <x:v>Synthetic row based on category coverage gap from uploaded PDF</x:v>
      </x:c>
    </x:row>
  </x:sheetData>
  <x:pageMargins left="0.7" right="0.7" top="0.75" bottom="0.75" header="0.3" footer="0.3"/>
  <x:tableParts count="1">
    <x:tablePart xmlns:r="http://schemas.openxmlformats.org/officeDocument/2006/relationships" r:id="Rc3056c6acdf84341"/>
  </x:tableParts>
</x:worksheet>
</file>

<file path=xl/worksheets/sheet15.xml><?xml version="1.0" encoding="utf-8"?>
<x:worksheet xmlns:x="http://schemas.openxmlformats.org/spreadsheetml/2006/main">
  <x:sheetFormatPr defaultRowHeight="15"/>
  <x:cols>
    <x:col min="1" max="1" width="18" hidden="0" customWidth="1"/>
    <x:col min="2" max="2" width="22" hidden="0" customWidth="1"/>
    <x:col min="3" max="3" width="13" hidden="0" customWidth="1"/>
    <x:col min="4" max="4" width="18" hidden="0" customWidth="1"/>
    <x:col min="5" max="5" width="18" hidden="0" customWidth="1"/>
    <x:col min="6" max="6" width="38" hidden="0" customWidth="1"/>
    <x:col min="7" max="7" width="17" hidden="0" customWidth="1"/>
    <x:col min="9" max="9" width="55" hidden="0" customWidth="1"/>
    <x:col min="11" max="11" width="24" hidden="0" customWidth="1"/>
    <x:col min="12" max="12" width="32" hidden="0" customWidth="1"/>
    <x:col min="13" max="13" width="42" hidden="0" customWidth="1"/>
    <x:col min="14" max="14" width="50" hidden="0" customWidth="1"/>
    <x:col min="17" max="17" width="50" hidden="0" customWidth="1"/>
    <x:col min="18" max="18" width="35" hidden="0" customWidth="1"/>
  </x:cols>
  <x:sheetData>
    <x:row r="1" ht="42" customHeight="1">
      <x:c r="A1" s="6" t="str">
        <x:v>case_id</x:v>
      </x:c>
      <x:c r="B1" s="6" t="str">
        <x:v>case_type</x:v>
      </x:c>
      <x:c r="C1" s="6" t="str">
        <x:v>source_type</x:v>
      </x:c>
      <x:c r="D1" s="6" t="str">
        <x:v>source_pdf_case_id</x:v>
      </x:c>
      <x:c r="E1" s="6" t="str">
        <x:v>original_dispute_category</x:v>
      </x:c>
      <x:c r="F1" s="6" t="str">
        <x:v>original_nature</x:v>
      </x:c>
      <x:c r="G1" s="6" t="str">
        <x:v>date_filed</x:v>
      </x:c>
      <x:c r="H1" s="6" t="str">
        <x:v>date_of_settlement_or_award</x:v>
      </x:c>
      <x:c r="I1" s="6" t="str">
        <x:v>conversation_status</x:v>
      </x:c>
      <x:c r="J1" s="6" t="str">
        <x:v>action_taken</x:v>
      </x:c>
      <x:c r="K1" s="6" t="str">
        <x:v>justice_kp_label</x:v>
      </x:c>
      <x:c r="L1" s="6" t="str">
        <x:v>kp_eligibility</x:v>
      </x:c>
      <x:c r="M1" s="6" t="str">
        <x:v>recommended_system_action</x:v>
      </x:c>
      <x:c r="N1" s="6" t="str">
        <x:v>label_reason</x:v>
      </x:c>
      <x:c r="O1" s="6" t="str">
        <x:v>amount_or_penalty_reference</x:v>
      </x:c>
      <x:c r="P1" s="6" t="str">
        <x:v>evidence_of_type</x:v>
      </x:c>
      <x:c r="Q1" s="6" t="str">
        <x:v>synthetic_generation_note</x:v>
      </x:c>
      <x:c r="R1" s="6" t="str">
        <x:v>source_file</x:v>
      </x:c>
    </x:row>
    <x:row r="2" ht="36" customHeight="1">
      <x:c r="A2" s="13" t="str">
        <x:v>SYN-FINE5K-001</x:v>
      </x:c>
      <x:c r="B2" s="13" t="str">
        <x:v>fine-over-5000</x:v>
      </x:c>
      <x:c r="C2" s="13" t="str">
        <x:v>Synthetic</x:v>
      </x:c>
      <x:c r="D2" s="13" t="str"/>
      <x:c r="E2" s="13" t="str">
        <x:v>Disqualified</x:v>
      </x:c>
      <x:c r="F2" s="13" t="str">
        <x:v>Reklamo sa offense na may statutory fine na ₱6,000</x:v>
      </x:c>
      <x:c r="G2" s="13" t="str">
        <x:v>January 13, 2026</x:v>
      </x:c>
      <x:c r="H2" s="13" t="str">
        <x:v>-</x:v>
      </x:c>
      <x:c r="I2" s="13" t="str">
        <x:v>Synthetic example: possible imposable fine is above ₱5,000; outside KP threshold.</x:v>
      </x:c>
      <x:c r="J2" s="13" t="str">
        <x:v>Refer</x:v>
      </x:c>
      <x:c r="K2" s="13" t="str">
        <x:v>NON_KP_REFERRAL</x:v>
      </x:c>
      <x:c r="L2" s="13" t="str">
        <x:v>Not KP; fine threshold exceeded</x:v>
      </x:c>
      <x:c r="M2" s="13" t="str">
        <x:v>Refer to court/prosecutor/proper agency</x:v>
      </x:c>
      <x:c r="N2" s="13" t="str">
        <x:v>Potential imposable fine exceeds ₱5,000 KP threshold.</x:v>
      </x:c>
      <x:c r="O2" s="13" t="str">
        <x:v>Statutory fine ₱6,000</x:v>
      </x:c>
      <x:c r="P2" s="13" t="str">
        <x:v>Reklamo sa offense na may statutory fine na ₱6,000</x:v>
      </x:c>
      <x:c r="Q2" s="13" t="str">
        <x:v>Added to balance 'fine-over-5000' to 49 examples using the same Justice KP label schema.</x:v>
      </x:c>
      <x:c r="R2" s="13" t="str">
        <x:v>Synthetic row based on category coverage gap from uploaded PDF</x:v>
      </x:c>
    </x:row>
    <x:row r="3" ht="36" customHeight="1">
      <x:c r="A3" s="13" t="str">
        <x:v>SYN-FINE5K-002</x:v>
      </x:c>
      <x:c r="B3" s="13" t="str">
        <x:v>fine-over-5000</x:v>
      </x:c>
      <x:c r="C3" s="13" t="str">
        <x:v>Synthetic</x:v>
      </x:c>
      <x:c r="D3" s="13" t="str"/>
      <x:c r="E3" s="13" t="str">
        <x:v>Disqualified</x:v>
      </x:c>
      <x:c r="F3" s="13" t="str">
        <x:v>Local ordinance violation na may fine na ₱7,500</x:v>
      </x:c>
      <x:c r="G3" s="13" t="str">
        <x:v>January 16, 2026</x:v>
      </x:c>
      <x:c r="H3" s="13" t="str">
        <x:v>-</x:v>
      </x:c>
      <x:c r="I3" s="13" t="str">
        <x:v>Synthetic example: possible imposable fine is above ₱5,000; outside KP threshold.</x:v>
      </x:c>
      <x:c r="J3" s="13" t="str">
        <x:v>Refer</x:v>
      </x:c>
      <x:c r="K3" s="13" t="str">
        <x:v>NON_KP_REFERRAL</x:v>
      </x:c>
      <x:c r="L3" s="13" t="str">
        <x:v>Not KP; fine threshold exceeded</x:v>
      </x:c>
      <x:c r="M3" s="13" t="str">
        <x:v>Refer to court/prosecutor/proper agency</x:v>
      </x:c>
      <x:c r="N3" s="13" t="str">
        <x:v>Potential imposable fine exceeds ₱5,000 KP threshold.</x:v>
      </x:c>
      <x:c r="O3" s="13" t="str">
        <x:v>Statutory fine ₱7,500</x:v>
      </x:c>
      <x:c r="P3" s="13" t="str">
        <x:v>Local ordinance violation na may fine na ₱7,500</x:v>
      </x:c>
      <x:c r="Q3" s="13" t="str">
        <x:v>Added to balance 'fine-over-5000' to 49 examples using the same Justice KP label schema.</x:v>
      </x:c>
      <x:c r="R3" s="13" t="str">
        <x:v>Synthetic row based on category coverage gap from uploaded PDF</x:v>
      </x:c>
    </x:row>
    <x:row r="4" ht="36" customHeight="1">
      <x:c r="A4" s="13" t="str">
        <x:v>SYN-FINE5K-003</x:v>
      </x:c>
      <x:c r="B4" s="13" t="str">
        <x:v>fine-over-5000</x:v>
      </x:c>
      <x:c r="C4" s="13" t="str">
        <x:v>Synthetic</x:v>
      </x:c>
      <x:c r="D4" s="13" t="str"/>
      <x:c r="E4" s="13" t="str">
        <x:v>Disqualified</x:v>
      </x:c>
      <x:c r="F4" s="13" t="str">
        <x:v>Damage complaint with law-indicated fine above ₱5,000</x:v>
      </x:c>
      <x:c r="G4" s="13" t="str">
        <x:v>January 19, 2026</x:v>
      </x:c>
      <x:c r="H4" s="13" t="str">
        <x:v>-</x:v>
      </x:c>
      <x:c r="I4" s="13" t="str">
        <x:v>Synthetic example: possible imposable fine is above ₱5,000; outside KP threshold.</x:v>
      </x:c>
      <x:c r="J4" s="13" t="str">
        <x:v>Refer</x:v>
      </x:c>
      <x:c r="K4" s="13" t="str">
        <x:v>NON_KP_REFERRAL</x:v>
      </x:c>
      <x:c r="L4" s="13" t="str">
        <x:v>Not KP; fine threshold exceeded</x:v>
      </x:c>
      <x:c r="M4" s="13" t="str">
        <x:v>Refer to court/prosecutor/proper agency</x:v>
      </x:c>
      <x:c r="N4" s="13" t="str">
        <x:v>Potential imposable fine exceeds ₱5,000 KP threshold.</x:v>
      </x:c>
      <x:c r="O4" s="13" t="str">
        <x:v>Statutory fine ₱10,000</x:v>
      </x:c>
      <x:c r="P4" s="13" t="str">
        <x:v>Damage complaint with law-indicated fine above ₱5,000</x:v>
      </x:c>
      <x:c r="Q4" s="13" t="str">
        <x:v>Added to balance 'fine-over-5000' to 49 examples using the same Justice KP label schema.</x:v>
      </x:c>
      <x:c r="R4" s="13" t="str">
        <x:v>Synthetic row based on category coverage gap from uploaded PDF</x:v>
      </x:c>
    </x:row>
    <x:row r="5" ht="36" customHeight="1">
      <x:c r="A5" s="13" t="str">
        <x:v>SYN-FINE5K-004</x:v>
      </x:c>
      <x:c r="B5" s="13" t="str">
        <x:v>fine-over-5000</x:v>
      </x:c>
      <x:c r="C5" s="13" t="str">
        <x:v>Synthetic</x:v>
      </x:c>
      <x:c r="D5" s="13" t="str"/>
      <x:c r="E5" s="13" t="str">
        <x:v>Disqualified</x:v>
      </x:c>
      <x:c r="F5" s="13" t="str">
        <x:v>Complaint where imposable fine is ₱10,000 under applicable rule</x:v>
      </x:c>
      <x:c r="G5" s="13" t="str">
        <x:v>January 22, 2026</x:v>
      </x:c>
      <x:c r="H5" s="13" t="str">
        <x:v>-</x:v>
      </x:c>
      <x:c r="I5" s="13" t="str">
        <x:v>Synthetic example: possible imposable fine is above ₱5,000; outside KP threshold.</x:v>
      </x:c>
      <x:c r="J5" s="13" t="str">
        <x:v>Refer</x:v>
      </x:c>
      <x:c r="K5" s="13" t="str">
        <x:v>NON_KP_REFERRAL</x:v>
      </x:c>
      <x:c r="L5" s="13" t="str">
        <x:v>Not KP; fine threshold exceeded</x:v>
      </x:c>
      <x:c r="M5" s="13" t="str">
        <x:v>Refer to court/prosecutor/proper agency</x:v>
      </x:c>
      <x:c r="N5" s="13" t="str">
        <x:v>Potential imposable fine exceeds ₱5,000 KP threshold.</x:v>
      </x:c>
      <x:c r="O5" s="13" t="str">
        <x:v>Statutory fine ₱5,500</x:v>
      </x:c>
      <x:c r="P5" s="13" t="str">
        <x:v>Complaint where imposable fine is ₱10,000 under applicable rule</x:v>
      </x:c>
      <x:c r="Q5" s="13" t="str">
        <x:v>Added to balance 'fine-over-5000' to 49 examples using the same Justice KP label schema.</x:v>
      </x:c>
      <x:c r="R5" s="13" t="str">
        <x:v>Synthetic row based on category coverage gap from uploaded PDF</x:v>
      </x:c>
    </x:row>
    <x:row r="6" ht="36" customHeight="1">
      <x:c r="A6" s="13" t="str">
        <x:v>SYN-FINE5K-005</x:v>
      </x:c>
      <x:c r="B6" s="13" t="str">
        <x:v>fine-over-5000</x:v>
      </x:c>
      <x:c r="C6" s="13" t="str">
        <x:v>Synthetic</x:v>
      </x:c>
      <x:c r="D6" s="13" t="str"/>
      <x:c r="E6" s="13" t="str">
        <x:v>Disqualified</x:v>
      </x:c>
      <x:c r="F6" s="13" t="str">
        <x:v>Violation carrying a fine of ₱5,500 based on cited ordinance</x:v>
      </x:c>
      <x:c r="G6" s="13" t="str">
        <x:v>January 25, 2026</x:v>
      </x:c>
      <x:c r="H6" s="13" t="str">
        <x:v>-</x:v>
      </x:c>
      <x:c r="I6" s="13" t="str">
        <x:v>Synthetic example: possible imposable fine is above ₱5,000; outside KP threshold.</x:v>
      </x:c>
      <x:c r="J6" s="13" t="str">
        <x:v>Refer</x:v>
      </x:c>
      <x:c r="K6" s="13" t="str">
        <x:v>NON_KP_REFERRAL</x:v>
      </x:c>
      <x:c r="L6" s="13" t="str">
        <x:v>Not KP; fine threshold exceeded</x:v>
      </x:c>
      <x:c r="M6" s="13" t="str">
        <x:v>Refer to court/prosecutor/proper agency</x:v>
      </x:c>
      <x:c r="N6" s="13" t="str">
        <x:v>Potential imposable fine exceeds ₱5,000 KP threshold.</x:v>
      </x:c>
      <x:c r="O6" s="13" t="str">
        <x:v>Statutory fine ₱8,000</x:v>
      </x:c>
      <x:c r="P6" s="13" t="str">
        <x:v>Violation carrying a fine of ₱5,500 based on cited ordinance</x:v>
      </x:c>
      <x:c r="Q6" s="13" t="str">
        <x:v>Added to balance 'fine-over-5000' to 49 examples using the same Justice KP label schema.</x:v>
      </x:c>
      <x:c r="R6" s="13" t="str">
        <x:v>Synthetic row based on category coverage gap from uploaded PDF</x:v>
      </x:c>
    </x:row>
    <x:row r="7" ht="36" customHeight="1">
      <x:c r="A7" s="13" t="str">
        <x:v>SYN-FINE5K-006</x:v>
      </x:c>
      <x:c r="B7" s="13" t="str">
        <x:v>fine-over-5000</x:v>
      </x:c>
      <x:c r="C7" s="13" t="str">
        <x:v>Synthetic</x:v>
      </x:c>
      <x:c r="D7" s="13" t="str"/>
      <x:c r="E7" s="13" t="str">
        <x:v>Disqualified</x:v>
      </x:c>
      <x:c r="F7" s="13" t="str">
        <x:v>Regulatory complaint with administrative fine above ₱5,000</x:v>
      </x:c>
      <x:c r="G7" s="13" t="str">
        <x:v>January 28, 2026</x:v>
      </x:c>
      <x:c r="H7" s="13" t="str">
        <x:v>-</x:v>
      </x:c>
      <x:c r="I7" s="13" t="str">
        <x:v>Synthetic example: possible imposable fine is above ₱5,000; outside KP threshold.</x:v>
      </x:c>
      <x:c r="J7" s="13" t="str">
        <x:v>Refer</x:v>
      </x:c>
      <x:c r="K7" s="13" t="str">
        <x:v>NON_KP_REFERRAL</x:v>
      </x:c>
      <x:c r="L7" s="13" t="str">
        <x:v>Not KP; fine threshold exceeded</x:v>
      </x:c>
      <x:c r="M7" s="13" t="str">
        <x:v>Refer to court/prosecutor/proper agency</x:v>
      </x:c>
      <x:c r="N7" s="13" t="str">
        <x:v>Potential imposable fine exceeds ₱5,000 KP threshold.</x:v>
      </x:c>
      <x:c r="O7" s="13" t="str">
        <x:v>Statutory fine ₱12,000</x:v>
      </x:c>
      <x:c r="P7" s="13" t="str">
        <x:v>Regulatory complaint with administrative fine above ₱5,000</x:v>
      </x:c>
      <x:c r="Q7" s="13" t="str">
        <x:v>Added to balance 'fine-over-5000' to 49 examples using the same Justice KP label schema.</x:v>
      </x:c>
      <x:c r="R7" s="13" t="str">
        <x:v>Synthetic row based on category coverage gap from uploaded PDF</x:v>
      </x:c>
    </x:row>
    <x:row r="8" ht="36" customHeight="1">
      <x:c r="A8" s="13" t="str">
        <x:v>SYN-FINE5K-007</x:v>
      </x:c>
      <x:c r="B8" s="13" t="str">
        <x:v>fine-over-5000</x:v>
      </x:c>
      <x:c r="C8" s="13" t="str">
        <x:v>Synthetic</x:v>
      </x:c>
      <x:c r="D8" s="13" t="str"/>
      <x:c r="E8" s="13" t="str">
        <x:v>Disqualified</x:v>
      </x:c>
      <x:c r="F8" s="13" t="str">
        <x:v>Case with possible court-imposed fine of ₱8,000</x:v>
      </x:c>
      <x:c r="G8" s="13" t="str">
        <x:v>January 31, 2026</x:v>
      </x:c>
      <x:c r="H8" s="13" t="str">
        <x:v>-</x:v>
      </x:c>
      <x:c r="I8" s="13" t="str">
        <x:v>Synthetic example: possible imposable fine is above ₱5,000; outside KP threshold.</x:v>
      </x:c>
      <x:c r="J8" s="13" t="str">
        <x:v>Refer</x:v>
      </x:c>
      <x:c r="K8" s="13" t="str">
        <x:v>NON_KP_REFERRAL</x:v>
      </x:c>
      <x:c r="L8" s="13" t="str">
        <x:v>Not KP; fine threshold exceeded</x:v>
      </x:c>
      <x:c r="M8" s="13" t="str">
        <x:v>Refer to court/prosecutor/proper agency</x:v>
      </x:c>
      <x:c r="N8" s="13" t="str">
        <x:v>Potential imposable fine exceeds ₱5,000 KP threshold.</x:v>
      </x:c>
      <x:c r="O8" s="13" t="str">
        <x:v>Statutory fine ₱9,000</x:v>
      </x:c>
      <x:c r="P8" s="13" t="str">
        <x:v>Case with possible court-imposed fine of ₱8,000</x:v>
      </x:c>
      <x:c r="Q8" s="13" t="str">
        <x:v>Added to balance 'fine-over-5000' to 49 examples using the same Justice KP label schema.</x:v>
      </x:c>
      <x:c r="R8" s="13" t="str">
        <x:v>Synthetic row based on category coverage gap from uploaded PDF</x:v>
      </x:c>
    </x:row>
    <x:row r="9" ht="36" customHeight="1">
      <x:c r="A9" s="13" t="str">
        <x:v>SYN-FINE5K-008</x:v>
      </x:c>
      <x:c r="B9" s="13" t="str">
        <x:v>fine-over-5000</x:v>
      </x:c>
      <x:c r="C9" s="13" t="str">
        <x:v>Synthetic</x:v>
      </x:c>
      <x:c r="D9" s="13" t="str"/>
      <x:c r="E9" s="13" t="str">
        <x:v>Disqualified</x:v>
      </x:c>
      <x:c r="F9" s="13" t="str">
        <x:v>Complaint tagged because maximum fine exceeds ₱5,000</x:v>
      </x:c>
      <x:c r="G9" s="13" t="str">
        <x:v>February 3, 2026</x:v>
      </x:c>
      <x:c r="H9" s="13" t="str">
        <x:v>-</x:v>
      </x:c>
      <x:c r="I9" s="13" t="str">
        <x:v>Synthetic example: possible imposable fine is above ₱5,000; outside KP threshold.</x:v>
      </x:c>
      <x:c r="J9" s="13" t="str">
        <x:v>Refer</x:v>
      </x:c>
      <x:c r="K9" s="13" t="str">
        <x:v>NON_KP_REFERRAL</x:v>
      </x:c>
      <x:c r="L9" s="13" t="str">
        <x:v>Not KP; fine threshold exceeded</x:v>
      </x:c>
      <x:c r="M9" s="13" t="str">
        <x:v>Refer to court/prosecutor/proper agency</x:v>
      </x:c>
      <x:c r="N9" s="13" t="str">
        <x:v>Potential imposable fine exceeds ₱5,000 KP threshold.</x:v>
      </x:c>
      <x:c r="O9" s="13" t="str">
        <x:v>Statutory fine ₱6,000</x:v>
      </x:c>
      <x:c r="P9" s="13" t="str">
        <x:v>Complaint tagged because maximum fine exceeds ₱5,000</x:v>
      </x:c>
      <x:c r="Q9" s="13" t="str">
        <x:v>Added to balance 'fine-over-5000' to 49 examples using the same Justice KP label schema.</x:v>
      </x:c>
      <x:c r="R9" s="13" t="str">
        <x:v>Synthetic row based on category coverage gap from uploaded PDF</x:v>
      </x:c>
    </x:row>
    <x:row r="10" ht="36" customHeight="1">
      <x:c r="A10" s="13" t="str">
        <x:v>SYN-FINE5K-009</x:v>
      </x:c>
      <x:c r="B10" s="13" t="str">
        <x:v>fine-over-5000</x:v>
      </x:c>
      <x:c r="C10" s="13" t="str">
        <x:v>Synthetic</x:v>
      </x:c>
      <x:c r="D10" s="13" t="str"/>
      <x:c r="E10" s="13" t="str">
        <x:v>Disqualified</x:v>
      </x:c>
      <x:c r="F10" s="13" t="str">
        <x:v>Offense record showing fine range ₱6,000 to ₱12,000</x:v>
      </x:c>
      <x:c r="G10" s="13" t="str">
        <x:v>February 6, 2026</x:v>
      </x:c>
      <x:c r="H10" s="13" t="str">
        <x:v>-</x:v>
      </x:c>
      <x:c r="I10" s="13" t="str">
        <x:v>Synthetic example: possible imposable fine is above ₱5,000; outside KP threshold.</x:v>
      </x:c>
      <x:c r="J10" s="13" t="str">
        <x:v>Refer</x:v>
      </x:c>
      <x:c r="K10" s="13" t="str">
        <x:v>NON_KP_REFERRAL</x:v>
      </x:c>
      <x:c r="L10" s="13" t="str">
        <x:v>Not KP; fine threshold exceeded</x:v>
      </x:c>
      <x:c r="M10" s="13" t="str">
        <x:v>Refer to court/prosecutor/proper agency</x:v>
      </x:c>
      <x:c r="N10" s="13" t="str">
        <x:v>Potential imposable fine exceeds ₱5,000 KP threshold.</x:v>
      </x:c>
      <x:c r="O10" s="13" t="str">
        <x:v>Statutory fine ₱7,500</x:v>
      </x:c>
      <x:c r="P10" s="13" t="str">
        <x:v>Offense record showing fine range ₱6,000 to ₱12,000</x:v>
      </x:c>
      <x:c r="Q10" s="13" t="str">
        <x:v>Added to balance 'fine-over-5000' to 49 examples using the same Justice KP label schema.</x:v>
      </x:c>
      <x:c r="R10" s="13" t="str">
        <x:v>Synthetic row based on category coverage gap from uploaded PDF</x:v>
      </x:c>
    </x:row>
    <x:row r="11" ht="36" customHeight="1">
      <x:c r="A11" s="13" t="str">
        <x:v>SYN-FINE5K-010</x:v>
      </x:c>
      <x:c r="B11" s="13" t="str">
        <x:v>fine-over-5000</x:v>
      </x:c>
      <x:c r="C11" s="13" t="str">
        <x:v>Synthetic</x:v>
      </x:c>
      <x:c r="D11" s="13" t="str"/>
      <x:c r="E11" s="13" t="str">
        <x:v>Disqualified</x:v>
      </x:c>
      <x:c r="F11" s="13" t="str">
        <x:v>Complaint where statutory fine threshold is above barangay limit</x:v>
      </x:c>
      <x:c r="G11" s="13" t="str">
        <x:v>February 9, 2026</x:v>
      </x:c>
      <x:c r="H11" s="13" t="str">
        <x:v>-</x:v>
      </x:c>
      <x:c r="I11" s="13" t="str">
        <x:v>Synthetic example: possible imposable fine is above ₱5,000; outside KP threshold.</x:v>
      </x:c>
      <x:c r="J11" s="13" t="str">
        <x:v>Refer</x:v>
      </x:c>
      <x:c r="K11" s="13" t="str">
        <x:v>NON_KP_REFERRAL</x:v>
      </x:c>
      <x:c r="L11" s="13" t="str">
        <x:v>Not KP; fine threshold exceeded</x:v>
      </x:c>
      <x:c r="M11" s="13" t="str">
        <x:v>Refer to court/prosecutor/proper agency</x:v>
      </x:c>
      <x:c r="N11" s="13" t="str">
        <x:v>Potential imposable fine exceeds ₱5,000 KP threshold.</x:v>
      </x:c>
      <x:c r="O11" s="13" t="str">
        <x:v>Statutory fine ₱10,000</x:v>
      </x:c>
      <x:c r="P11" s="13" t="str">
        <x:v>Complaint where statutory fine threshold is above barangay limit</x:v>
      </x:c>
      <x:c r="Q11" s="13" t="str">
        <x:v>Added to balance 'fine-over-5000' to 49 examples using the same Justice KP label schema.</x:v>
      </x:c>
      <x:c r="R11" s="13" t="str">
        <x:v>Synthetic row based on category coverage gap from uploaded PDF</x:v>
      </x:c>
    </x:row>
    <x:row r="12" ht="36" customHeight="1">
      <x:c r="A12" s="13" t="str">
        <x:v>SYN-FINE5K-011</x:v>
      </x:c>
      <x:c r="B12" s="13" t="str">
        <x:v>fine-over-5000</x:v>
      </x:c>
      <x:c r="C12" s="13" t="str">
        <x:v>Synthetic</x:v>
      </x:c>
      <x:c r="D12" s="13" t="str"/>
      <x:c r="E12" s="13" t="str">
        <x:v>Disqualified</x:v>
      </x:c>
      <x:c r="F12" s="13" t="str">
        <x:v>Reklamo sa offense na may statutory fine na ₱6,000</x:v>
      </x:c>
      <x:c r="G12" s="13" t="str">
        <x:v>February 12, 2026</x:v>
      </x:c>
      <x:c r="H12" s="13" t="str">
        <x:v>-</x:v>
      </x:c>
      <x:c r="I12" s="13" t="str">
        <x:v>Synthetic example: possible imposable fine is above ₱5,000; outside KP threshold.</x:v>
      </x:c>
      <x:c r="J12" s="13" t="str">
        <x:v>Refer</x:v>
      </x:c>
      <x:c r="K12" s="13" t="str">
        <x:v>NON_KP_REFERRAL</x:v>
      </x:c>
      <x:c r="L12" s="13" t="str">
        <x:v>Not KP; fine threshold exceeded</x:v>
      </x:c>
      <x:c r="M12" s="13" t="str">
        <x:v>Refer to court/prosecutor/proper agency</x:v>
      </x:c>
      <x:c r="N12" s="13" t="str">
        <x:v>Potential imposable fine exceeds ₱5,000 KP threshold.</x:v>
      </x:c>
      <x:c r="O12" s="13" t="str">
        <x:v>Statutory fine ₱5,500</x:v>
      </x:c>
      <x:c r="P12" s="13" t="str">
        <x:v>Reklamo sa offense na may statutory fine na ₱6,000</x:v>
      </x:c>
      <x:c r="Q12" s="13" t="str">
        <x:v>Added to balance 'fine-over-5000' to 49 examples using the same Justice KP label schema.</x:v>
      </x:c>
      <x:c r="R12" s="13" t="str">
        <x:v>Synthetic row based on category coverage gap from uploaded PDF</x:v>
      </x:c>
    </x:row>
    <x:row r="13" ht="36" customHeight="1">
      <x:c r="A13" s="13" t="str">
        <x:v>SYN-FINE5K-012</x:v>
      </x:c>
      <x:c r="B13" s="13" t="str">
        <x:v>fine-over-5000</x:v>
      </x:c>
      <x:c r="C13" s="13" t="str">
        <x:v>Synthetic</x:v>
      </x:c>
      <x:c r="D13" s="13" t="str"/>
      <x:c r="E13" s="13" t="str">
        <x:v>Disqualified</x:v>
      </x:c>
      <x:c r="F13" s="13" t="str">
        <x:v>Local ordinance violation na may fine na ₱7,500</x:v>
      </x:c>
      <x:c r="G13" s="13" t="str">
        <x:v>February 15, 2026</x:v>
      </x:c>
      <x:c r="H13" s="13" t="str">
        <x:v>-</x:v>
      </x:c>
      <x:c r="I13" s="13" t="str">
        <x:v>Synthetic example: possible imposable fine is above ₱5,000; outside KP threshold.</x:v>
      </x:c>
      <x:c r="J13" s="13" t="str">
        <x:v>Refer</x:v>
      </x:c>
      <x:c r="K13" s="13" t="str">
        <x:v>NON_KP_REFERRAL</x:v>
      </x:c>
      <x:c r="L13" s="13" t="str">
        <x:v>Not KP; fine threshold exceeded</x:v>
      </x:c>
      <x:c r="M13" s="13" t="str">
        <x:v>Refer to court/prosecutor/proper agency</x:v>
      </x:c>
      <x:c r="N13" s="13" t="str">
        <x:v>Potential imposable fine exceeds ₱5,000 KP threshold.</x:v>
      </x:c>
      <x:c r="O13" s="13" t="str">
        <x:v>Statutory fine ₱8,000</x:v>
      </x:c>
      <x:c r="P13" s="13" t="str">
        <x:v>Local ordinance violation na may fine na ₱7,500</x:v>
      </x:c>
      <x:c r="Q13" s="13" t="str">
        <x:v>Added to balance 'fine-over-5000' to 49 examples using the same Justice KP label schema.</x:v>
      </x:c>
      <x:c r="R13" s="13" t="str">
        <x:v>Synthetic row based on category coverage gap from uploaded PDF</x:v>
      </x:c>
    </x:row>
    <x:row r="14" ht="36" customHeight="1">
      <x:c r="A14" s="13" t="str">
        <x:v>SYN-FINE5K-013</x:v>
      </x:c>
      <x:c r="B14" s="13" t="str">
        <x:v>fine-over-5000</x:v>
      </x:c>
      <x:c r="C14" s="13" t="str">
        <x:v>Synthetic</x:v>
      </x:c>
      <x:c r="D14" s="13" t="str"/>
      <x:c r="E14" s="13" t="str">
        <x:v>Disqualified</x:v>
      </x:c>
      <x:c r="F14" s="13" t="str">
        <x:v>Damage complaint with law-indicated fine above ₱5,000</x:v>
      </x:c>
      <x:c r="G14" s="13" t="str">
        <x:v>February 18, 2026</x:v>
      </x:c>
      <x:c r="H14" s="13" t="str">
        <x:v>-</x:v>
      </x:c>
      <x:c r="I14" s="13" t="str">
        <x:v>Synthetic example: possible imposable fine is above ₱5,000; outside KP threshold.</x:v>
      </x:c>
      <x:c r="J14" s="13" t="str">
        <x:v>Refer</x:v>
      </x:c>
      <x:c r="K14" s="13" t="str">
        <x:v>NON_KP_REFERRAL</x:v>
      </x:c>
      <x:c r="L14" s="13" t="str">
        <x:v>Not KP; fine threshold exceeded</x:v>
      </x:c>
      <x:c r="M14" s="13" t="str">
        <x:v>Refer to court/prosecutor/proper agency</x:v>
      </x:c>
      <x:c r="N14" s="13" t="str">
        <x:v>Potential imposable fine exceeds ₱5,000 KP threshold.</x:v>
      </x:c>
      <x:c r="O14" s="13" t="str">
        <x:v>Statutory fine ₱12,000</x:v>
      </x:c>
      <x:c r="P14" s="13" t="str">
        <x:v>Damage complaint with law-indicated fine above ₱5,000</x:v>
      </x:c>
      <x:c r="Q14" s="13" t="str">
        <x:v>Added to balance 'fine-over-5000' to 49 examples using the same Justice KP label schema.</x:v>
      </x:c>
      <x:c r="R14" s="13" t="str">
        <x:v>Synthetic row based on category coverage gap from uploaded PDF</x:v>
      </x:c>
    </x:row>
    <x:row r="15" ht="36" customHeight="1">
      <x:c r="A15" s="13" t="str">
        <x:v>SYN-FINE5K-014</x:v>
      </x:c>
      <x:c r="B15" s="13" t="str">
        <x:v>fine-over-5000</x:v>
      </x:c>
      <x:c r="C15" s="13" t="str">
        <x:v>Synthetic</x:v>
      </x:c>
      <x:c r="D15" s="13" t="str"/>
      <x:c r="E15" s="13" t="str">
        <x:v>Disqualified</x:v>
      </x:c>
      <x:c r="F15" s="13" t="str">
        <x:v>Complaint where imposable fine is ₱10,000 under applicable rule</x:v>
      </x:c>
      <x:c r="G15" s="13" t="str">
        <x:v>February 21, 2026</x:v>
      </x:c>
      <x:c r="H15" s="13" t="str">
        <x:v>-</x:v>
      </x:c>
      <x:c r="I15" s="13" t="str">
        <x:v>Synthetic example: possible imposable fine is above ₱5,000; outside KP threshold.</x:v>
      </x:c>
      <x:c r="J15" s="13" t="str">
        <x:v>Refer</x:v>
      </x:c>
      <x:c r="K15" s="13" t="str">
        <x:v>NON_KP_REFERRAL</x:v>
      </x:c>
      <x:c r="L15" s="13" t="str">
        <x:v>Not KP; fine threshold exceeded</x:v>
      </x:c>
      <x:c r="M15" s="13" t="str">
        <x:v>Refer to court/prosecutor/proper agency</x:v>
      </x:c>
      <x:c r="N15" s="13" t="str">
        <x:v>Potential imposable fine exceeds ₱5,000 KP threshold.</x:v>
      </x:c>
      <x:c r="O15" s="13" t="str">
        <x:v>Statutory fine ₱9,000</x:v>
      </x:c>
      <x:c r="P15" s="13" t="str">
        <x:v>Complaint where imposable fine is ₱10,000 under applicable rule</x:v>
      </x:c>
      <x:c r="Q15" s="13" t="str">
        <x:v>Added to balance 'fine-over-5000' to 49 examples using the same Justice KP label schema.</x:v>
      </x:c>
      <x:c r="R15" s="13" t="str">
        <x:v>Synthetic row based on category coverage gap from uploaded PDF</x:v>
      </x:c>
    </x:row>
    <x:row r="16" ht="36" customHeight="1">
      <x:c r="A16" s="13" t="str">
        <x:v>SYN-FINE5K-015</x:v>
      </x:c>
      <x:c r="B16" s="13" t="str">
        <x:v>fine-over-5000</x:v>
      </x:c>
      <x:c r="C16" s="13" t="str">
        <x:v>Synthetic</x:v>
      </x:c>
      <x:c r="D16" s="13" t="str"/>
      <x:c r="E16" s="13" t="str">
        <x:v>Disqualified</x:v>
      </x:c>
      <x:c r="F16" s="13" t="str">
        <x:v>Violation carrying a fine of ₱5,500 based on cited ordinance</x:v>
      </x:c>
      <x:c r="G16" s="13" t="str">
        <x:v>February 24, 2026</x:v>
      </x:c>
      <x:c r="H16" s="13" t="str">
        <x:v>-</x:v>
      </x:c>
      <x:c r="I16" s="13" t="str">
        <x:v>Synthetic example: possible imposable fine is above ₱5,000; outside KP threshold.</x:v>
      </x:c>
      <x:c r="J16" s="13" t="str">
        <x:v>Refer</x:v>
      </x:c>
      <x:c r="K16" s="13" t="str">
        <x:v>NON_KP_REFERRAL</x:v>
      </x:c>
      <x:c r="L16" s="13" t="str">
        <x:v>Not KP; fine threshold exceeded</x:v>
      </x:c>
      <x:c r="M16" s="13" t="str">
        <x:v>Refer to court/prosecutor/proper agency</x:v>
      </x:c>
      <x:c r="N16" s="13" t="str">
        <x:v>Potential imposable fine exceeds ₱5,000 KP threshold.</x:v>
      </x:c>
      <x:c r="O16" s="13" t="str">
        <x:v>Statutory fine ₱6,000</x:v>
      </x:c>
      <x:c r="P16" s="13" t="str">
        <x:v>Violation carrying a fine of ₱5,500 based on cited ordinance</x:v>
      </x:c>
      <x:c r="Q16" s="13" t="str">
        <x:v>Added to balance 'fine-over-5000' to 49 examples using the same Justice KP label schema.</x:v>
      </x:c>
      <x:c r="R16" s="13" t="str">
        <x:v>Synthetic row based on category coverage gap from uploaded PDF</x:v>
      </x:c>
    </x:row>
    <x:row r="17" ht="36" customHeight="1">
      <x:c r="A17" s="13" t="str">
        <x:v>SYN-FINE5K-016</x:v>
      </x:c>
      <x:c r="B17" s="13" t="str">
        <x:v>fine-over-5000</x:v>
      </x:c>
      <x:c r="C17" s="13" t="str">
        <x:v>Synthetic</x:v>
      </x:c>
      <x:c r="D17" s="13" t="str"/>
      <x:c r="E17" s="13" t="str">
        <x:v>Disqualified</x:v>
      </x:c>
      <x:c r="F17" s="13" t="str">
        <x:v>Regulatory complaint with administrative fine above ₱5,000</x:v>
      </x:c>
      <x:c r="G17" s="13" t="str">
        <x:v>February 27, 2026</x:v>
      </x:c>
      <x:c r="H17" s="13" t="str">
        <x:v>-</x:v>
      </x:c>
      <x:c r="I17" s="13" t="str">
        <x:v>Synthetic example: possible imposable fine is above ₱5,000; outside KP threshold.</x:v>
      </x:c>
      <x:c r="J17" s="13" t="str">
        <x:v>Refer</x:v>
      </x:c>
      <x:c r="K17" s="13" t="str">
        <x:v>NON_KP_REFERRAL</x:v>
      </x:c>
      <x:c r="L17" s="13" t="str">
        <x:v>Not KP; fine threshold exceeded</x:v>
      </x:c>
      <x:c r="M17" s="13" t="str">
        <x:v>Refer to court/prosecutor/proper agency</x:v>
      </x:c>
      <x:c r="N17" s="13" t="str">
        <x:v>Potential imposable fine exceeds ₱5,000 KP threshold.</x:v>
      </x:c>
      <x:c r="O17" s="13" t="str">
        <x:v>Statutory fine ₱7,500</x:v>
      </x:c>
      <x:c r="P17" s="13" t="str">
        <x:v>Regulatory complaint with administrative fine above ₱5,000</x:v>
      </x:c>
      <x:c r="Q17" s="13" t="str">
        <x:v>Added to balance 'fine-over-5000' to 49 examples using the same Justice KP label schema.</x:v>
      </x:c>
      <x:c r="R17" s="13" t="str">
        <x:v>Synthetic row based on category coverage gap from uploaded PDF</x:v>
      </x:c>
    </x:row>
    <x:row r="18" ht="36" customHeight="1">
      <x:c r="A18" s="13" t="str">
        <x:v>SYN-FINE5K-017</x:v>
      </x:c>
      <x:c r="B18" s="13" t="str">
        <x:v>fine-over-5000</x:v>
      </x:c>
      <x:c r="C18" s="13" t="str">
        <x:v>Synthetic</x:v>
      </x:c>
      <x:c r="D18" s="13" t="str"/>
      <x:c r="E18" s="13" t="str">
        <x:v>Disqualified</x:v>
      </x:c>
      <x:c r="F18" s="13" t="str">
        <x:v>Case with possible court-imposed fine of ₱8,000</x:v>
      </x:c>
      <x:c r="G18" s="13" t="str">
        <x:v>March 2, 2026</x:v>
      </x:c>
      <x:c r="H18" s="13" t="str">
        <x:v>-</x:v>
      </x:c>
      <x:c r="I18" s="13" t="str">
        <x:v>Synthetic example: possible imposable fine is above ₱5,000; outside KP threshold.</x:v>
      </x:c>
      <x:c r="J18" s="13" t="str">
        <x:v>Refer</x:v>
      </x:c>
      <x:c r="K18" s="13" t="str">
        <x:v>NON_KP_REFERRAL</x:v>
      </x:c>
      <x:c r="L18" s="13" t="str">
        <x:v>Not KP; fine threshold exceeded</x:v>
      </x:c>
      <x:c r="M18" s="13" t="str">
        <x:v>Refer to court/prosecutor/proper agency</x:v>
      </x:c>
      <x:c r="N18" s="13" t="str">
        <x:v>Potential imposable fine exceeds ₱5,000 KP threshold.</x:v>
      </x:c>
      <x:c r="O18" s="13" t="str">
        <x:v>Statutory fine ₱10,000</x:v>
      </x:c>
      <x:c r="P18" s="13" t="str">
        <x:v>Case with possible court-imposed fine of ₱8,000</x:v>
      </x:c>
      <x:c r="Q18" s="13" t="str">
        <x:v>Added to balance 'fine-over-5000' to 49 examples using the same Justice KP label schema.</x:v>
      </x:c>
      <x:c r="R18" s="13" t="str">
        <x:v>Synthetic row based on category coverage gap from uploaded PDF</x:v>
      </x:c>
    </x:row>
    <x:row r="19" ht="36" customHeight="1">
      <x:c r="A19" s="13" t="str">
        <x:v>SYN-FINE5K-018</x:v>
      </x:c>
      <x:c r="B19" s="13" t="str">
        <x:v>fine-over-5000</x:v>
      </x:c>
      <x:c r="C19" s="13" t="str">
        <x:v>Synthetic</x:v>
      </x:c>
      <x:c r="D19" s="13" t="str"/>
      <x:c r="E19" s="13" t="str">
        <x:v>Disqualified</x:v>
      </x:c>
      <x:c r="F19" s="13" t="str">
        <x:v>Complaint tagged because maximum fine exceeds ₱5,000</x:v>
      </x:c>
      <x:c r="G19" s="13" t="str">
        <x:v>March 5, 2026</x:v>
      </x:c>
      <x:c r="H19" s="13" t="str">
        <x:v>-</x:v>
      </x:c>
      <x:c r="I19" s="13" t="str">
        <x:v>Synthetic example: possible imposable fine is above ₱5,000; outside KP threshold.</x:v>
      </x:c>
      <x:c r="J19" s="13" t="str">
        <x:v>Refer</x:v>
      </x:c>
      <x:c r="K19" s="13" t="str">
        <x:v>NON_KP_REFERRAL</x:v>
      </x:c>
      <x:c r="L19" s="13" t="str">
        <x:v>Not KP; fine threshold exceeded</x:v>
      </x:c>
      <x:c r="M19" s="13" t="str">
        <x:v>Refer to court/prosecutor/proper agency</x:v>
      </x:c>
      <x:c r="N19" s="13" t="str">
        <x:v>Potential imposable fine exceeds ₱5,000 KP threshold.</x:v>
      </x:c>
      <x:c r="O19" s="13" t="str">
        <x:v>Statutory fine ₱5,500</x:v>
      </x:c>
      <x:c r="P19" s="13" t="str">
        <x:v>Complaint tagged because maximum fine exceeds ₱5,000</x:v>
      </x:c>
      <x:c r="Q19" s="13" t="str">
        <x:v>Added to balance 'fine-over-5000' to 49 examples using the same Justice KP label schema.</x:v>
      </x:c>
      <x:c r="R19" s="13" t="str">
        <x:v>Synthetic row based on category coverage gap from uploaded PDF</x:v>
      </x:c>
    </x:row>
    <x:row r="20" ht="36" customHeight="1">
      <x:c r="A20" s="13" t="str">
        <x:v>SYN-FINE5K-019</x:v>
      </x:c>
      <x:c r="B20" s="13" t="str">
        <x:v>fine-over-5000</x:v>
      </x:c>
      <x:c r="C20" s="13" t="str">
        <x:v>Synthetic</x:v>
      </x:c>
      <x:c r="D20" s="13" t="str"/>
      <x:c r="E20" s="13" t="str">
        <x:v>Disqualified</x:v>
      </x:c>
      <x:c r="F20" s="13" t="str">
        <x:v>Offense record showing fine range ₱6,000 to ₱12,000</x:v>
      </x:c>
      <x:c r="G20" s="13" t="str">
        <x:v>March 8, 2026</x:v>
      </x:c>
      <x:c r="H20" s="13" t="str">
        <x:v>-</x:v>
      </x:c>
      <x:c r="I20" s="13" t="str">
        <x:v>Synthetic example: possible imposable fine is above ₱5,000; outside KP threshold.</x:v>
      </x:c>
      <x:c r="J20" s="13" t="str">
        <x:v>Refer</x:v>
      </x:c>
      <x:c r="K20" s="13" t="str">
        <x:v>NON_KP_REFERRAL</x:v>
      </x:c>
      <x:c r="L20" s="13" t="str">
        <x:v>Not KP; fine threshold exceeded</x:v>
      </x:c>
      <x:c r="M20" s="13" t="str">
        <x:v>Refer to court/prosecutor/proper agency</x:v>
      </x:c>
      <x:c r="N20" s="13" t="str">
        <x:v>Potential imposable fine exceeds ₱5,000 KP threshold.</x:v>
      </x:c>
      <x:c r="O20" s="13" t="str">
        <x:v>Statutory fine ₱8,000</x:v>
      </x:c>
      <x:c r="P20" s="13" t="str">
        <x:v>Offense record showing fine range ₱6,000 to ₱12,000</x:v>
      </x:c>
      <x:c r="Q20" s="13" t="str">
        <x:v>Added to balance 'fine-over-5000' to 49 examples using the same Justice KP label schema.</x:v>
      </x:c>
      <x:c r="R20" s="13" t="str">
        <x:v>Synthetic row based on category coverage gap from uploaded PDF</x:v>
      </x:c>
    </x:row>
    <x:row r="21" ht="36" customHeight="1">
      <x:c r="A21" s="13" t="str">
        <x:v>SYN-FINE5K-020</x:v>
      </x:c>
      <x:c r="B21" s="13" t="str">
        <x:v>fine-over-5000</x:v>
      </x:c>
      <x:c r="C21" s="13" t="str">
        <x:v>Synthetic</x:v>
      </x:c>
      <x:c r="D21" s="13" t="str"/>
      <x:c r="E21" s="13" t="str">
        <x:v>Disqualified</x:v>
      </x:c>
      <x:c r="F21" s="13" t="str">
        <x:v>Complaint where statutory fine threshold is above barangay limit</x:v>
      </x:c>
      <x:c r="G21" s="13" t="str">
        <x:v>March 11, 2026</x:v>
      </x:c>
      <x:c r="H21" s="13" t="str">
        <x:v>-</x:v>
      </x:c>
      <x:c r="I21" s="13" t="str">
        <x:v>Synthetic example: possible imposable fine is above ₱5,000; outside KP threshold.</x:v>
      </x:c>
      <x:c r="J21" s="13" t="str">
        <x:v>Refer</x:v>
      </x:c>
      <x:c r="K21" s="13" t="str">
        <x:v>NON_KP_REFERRAL</x:v>
      </x:c>
      <x:c r="L21" s="13" t="str">
        <x:v>Not KP; fine threshold exceeded</x:v>
      </x:c>
      <x:c r="M21" s="13" t="str">
        <x:v>Refer to court/prosecutor/proper agency</x:v>
      </x:c>
      <x:c r="N21" s="13" t="str">
        <x:v>Potential imposable fine exceeds ₱5,000 KP threshold.</x:v>
      </x:c>
      <x:c r="O21" s="13" t="str">
        <x:v>Statutory fine ₱12,000</x:v>
      </x:c>
      <x:c r="P21" s="13" t="str">
        <x:v>Complaint where statutory fine threshold is above barangay limit</x:v>
      </x:c>
      <x:c r="Q21" s="13" t="str">
        <x:v>Added to balance 'fine-over-5000' to 49 examples using the same Justice KP label schema.</x:v>
      </x:c>
      <x:c r="R21" s="13" t="str">
        <x:v>Synthetic row based on category coverage gap from uploaded PDF</x:v>
      </x:c>
    </x:row>
    <x:row r="22" ht="36" customHeight="1">
      <x:c r="A22" s="13" t="str">
        <x:v>SYN-FINE5K-021</x:v>
      </x:c>
      <x:c r="B22" s="13" t="str">
        <x:v>fine-over-5000</x:v>
      </x:c>
      <x:c r="C22" s="13" t="str">
        <x:v>Synthetic</x:v>
      </x:c>
      <x:c r="D22" s="13" t="str"/>
      <x:c r="E22" s="13" t="str">
        <x:v>Disqualified</x:v>
      </x:c>
      <x:c r="F22" s="13" t="str">
        <x:v>Reklamo sa offense na may statutory fine na ₱6,000</x:v>
      </x:c>
      <x:c r="G22" s="13" t="str">
        <x:v>March 14, 2026</x:v>
      </x:c>
      <x:c r="H22" s="13" t="str">
        <x:v>-</x:v>
      </x:c>
      <x:c r="I22" s="13" t="str">
        <x:v>Synthetic example: possible imposable fine is above ₱5,000; outside KP threshold.</x:v>
      </x:c>
      <x:c r="J22" s="13" t="str">
        <x:v>Refer</x:v>
      </x:c>
      <x:c r="K22" s="13" t="str">
        <x:v>NON_KP_REFERRAL</x:v>
      </x:c>
      <x:c r="L22" s="13" t="str">
        <x:v>Not KP; fine threshold exceeded</x:v>
      </x:c>
      <x:c r="M22" s="13" t="str">
        <x:v>Refer to court/prosecutor/proper agency</x:v>
      </x:c>
      <x:c r="N22" s="13" t="str">
        <x:v>Potential imposable fine exceeds ₱5,000 KP threshold.</x:v>
      </x:c>
      <x:c r="O22" s="13" t="str">
        <x:v>Statutory fine ₱9,000</x:v>
      </x:c>
      <x:c r="P22" s="13" t="str">
        <x:v>Reklamo sa offense na may statutory fine na ₱6,000</x:v>
      </x:c>
      <x:c r="Q22" s="13" t="str">
        <x:v>Added to balance 'fine-over-5000' to 49 examples using the same Justice KP label schema.</x:v>
      </x:c>
      <x:c r="R22" s="13" t="str">
        <x:v>Synthetic row based on category coverage gap from uploaded PDF</x:v>
      </x:c>
    </x:row>
    <x:row r="23" ht="36" customHeight="1">
      <x:c r="A23" s="13" t="str">
        <x:v>SYN-FINE5K-022</x:v>
      </x:c>
      <x:c r="B23" s="13" t="str">
        <x:v>fine-over-5000</x:v>
      </x:c>
      <x:c r="C23" s="13" t="str">
        <x:v>Synthetic</x:v>
      </x:c>
      <x:c r="D23" s="13" t="str"/>
      <x:c r="E23" s="13" t="str">
        <x:v>Disqualified</x:v>
      </x:c>
      <x:c r="F23" s="13" t="str">
        <x:v>Local ordinance violation na may fine na ₱7,500</x:v>
      </x:c>
      <x:c r="G23" s="13" t="str">
        <x:v>March 17, 2026</x:v>
      </x:c>
      <x:c r="H23" s="13" t="str">
        <x:v>-</x:v>
      </x:c>
      <x:c r="I23" s="13" t="str">
        <x:v>Synthetic example: possible imposable fine is above ₱5,000; outside KP threshold.</x:v>
      </x:c>
      <x:c r="J23" s="13" t="str">
        <x:v>Refer</x:v>
      </x:c>
      <x:c r="K23" s="13" t="str">
        <x:v>NON_KP_REFERRAL</x:v>
      </x:c>
      <x:c r="L23" s="13" t="str">
        <x:v>Not KP; fine threshold exceeded</x:v>
      </x:c>
      <x:c r="M23" s="13" t="str">
        <x:v>Refer to court/prosecutor/proper agency</x:v>
      </x:c>
      <x:c r="N23" s="13" t="str">
        <x:v>Potential imposable fine exceeds ₱5,000 KP threshold.</x:v>
      </x:c>
      <x:c r="O23" s="13" t="str">
        <x:v>Statutory fine ₱6,000</x:v>
      </x:c>
      <x:c r="P23" s="13" t="str">
        <x:v>Local ordinance violation na may fine na ₱7,500</x:v>
      </x:c>
      <x:c r="Q23" s="13" t="str">
        <x:v>Added to balance 'fine-over-5000' to 49 examples using the same Justice KP label schema.</x:v>
      </x:c>
      <x:c r="R23" s="13" t="str">
        <x:v>Synthetic row based on category coverage gap from uploaded PDF</x:v>
      </x:c>
    </x:row>
    <x:row r="24" ht="36" customHeight="1">
      <x:c r="A24" s="13" t="str">
        <x:v>SYN-FINE5K-023</x:v>
      </x:c>
      <x:c r="B24" s="13" t="str">
        <x:v>fine-over-5000</x:v>
      </x:c>
      <x:c r="C24" s="13" t="str">
        <x:v>Synthetic</x:v>
      </x:c>
      <x:c r="D24" s="13" t="str"/>
      <x:c r="E24" s="13" t="str">
        <x:v>Disqualified</x:v>
      </x:c>
      <x:c r="F24" s="13" t="str">
        <x:v>Damage complaint with law-indicated fine above ₱5,000</x:v>
      </x:c>
      <x:c r="G24" s="13" t="str">
        <x:v>March 20, 2026</x:v>
      </x:c>
      <x:c r="H24" s="13" t="str">
        <x:v>-</x:v>
      </x:c>
      <x:c r="I24" s="13" t="str">
        <x:v>Synthetic example: possible imposable fine is above ₱5,000; outside KP threshold.</x:v>
      </x:c>
      <x:c r="J24" s="13" t="str">
        <x:v>Refer</x:v>
      </x:c>
      <x:c r="K24" s="13" t="str">
        <x:v>NON_KP_REFERRAL</x:v>
      </x:c>
      <x:c r="L24" s="13" t="str">
        <x:v>Not KP; fine threshold exceeded</x:v>
      </x:c>
      <x:c r="M24" s="13" t="str">
        <x:v>Refer to court/prosecutor/proper agency</x:v>
      </x:c>
      <x:c r="N24" s="13" t="str">
        <x:v>Potential imposable fine exceeds ₱5,000 KP threshold.</x:v>
      </x:c>
      <x:c r="O24" s="13" t="str">
        <x:v>Statutory fine ₱7,500</x:v>
      </x:c>
      <x:c r="P24" s="13" t="str">
        <x:v>Damage complaint with law-indicated fine above ₱5,000</x:v>
      </x:c>
      <x:c r="Q24" s="13" t="str">
        <x:v>Added to balance 'fine-over-5000' to 49 examples using the same Justice KP label schema.</x:v>
      </x:c>
      <x:c r="R24" s="13" t="str">
        <x:v>Synthetic row based on category coverage gap from uploaded PDF</x:v>
      </x:c>
    </x:row>
    <x:row r="25" ht="36" customHeight="1">
      <x:c r="A25" s="13" t="str">
        <x:v>SYN-FINE5K-024</x:v>
      </x:c>
      <x:c r="B25" s="13" t="str">
        <x:v>fine-over-5000</x:v>
      </x:c>
      <x:c r="C25" s="13" t="str">
        <x:v>Synthetic</x:v>
      </x:c>
      <x:c r="D25" s="13" t="str"/>
      <x:c r="E25" s="13" t="str">
        <x:v>Disqualified</x:v>
      </x:c>
      <x:c r="F25" s="13" t="str">
        <x:v>Complaint where imposable fine is ₱10,000 under applicable rule</x:v>
      </x:c>
      <x:c r="G25" s="13" t="str">
        <x:v>March 23, 2026</x:v>
      </x:c>
      <x:c r="H25" s="13" t="str">
        <x:v>-</x:v>
      </x:c>
      <x:c r="I25" s="13" t="str">
        <x:v>Synthetic example: possible imposable fine is above ₱5,000; outside KP threshold.</x:v>
      </x:c>
      <x:c r="J25" s="13" t="str">
        <x:v>Refer</x:v>
      </x:c>
      <x:c r="K25" s="13" t="str">
        <x:v>NON_KP_REFERRAL</x:v>
      </x:c>
      <x:c r="L25" s="13" t="str">
        <x:v>Not KP; fine threshold exceeded</x:v>
      </x:c>
      <x:c r="M25" s="13" t="str">
        <x:v>Refer to court/prosecutor/proper agency</x:v>
      </x:c>
      <x:c r="N25" s="13" t="str">
        <x:v>Potential imposable fine exceeds ₱5,000 KP threshold.</x:v>
      </x:c>
      <x:c r="O25" s="13" t="str">
        <x:v>Statutory fine ₱10,000</x:v>
      </x:c>
      <x:c r="P25" s="13" t="str">
        <x:v>Complaint where imposable fine is ₱10,000 under applicable rule</x:v>
      </x:c>
      <x:c r="Q25" s="13" t="str">
        <x:v>Added to balance 'fine-over-5000' to 49 examples using the same Justice KP label schema.</x:v>
      </x:c>
      <x:c r="R25" s="13" t="str">
        <x:v>Synthetic row based on category coverage gap from uploaded PDF</x:v>
      </x:c>
    </x:row>
    <x:row r="26" ht="36" customHeight="1">
      <x:c r="A26" s="13" t="str">
        <x:v>SYN-FINE5K-025</x:v>
      </x:c>
      <x:c r="B26" s="13" t="str">
        <x:v>fine-over-5000</x:v>
      </x:c>
      <x:c r="C26" s="13" t="str">
        <x:v>Synthetic</x:v>
      </x:c>
      <x:c r="D26" s="13" t="str"/>
      <x:c r="E26" s="13" t="str">
        <x:v>Disqualified</x:v>
      </x:c>
      <x:c r="F26" s="13" t="str">
        <x:v>Violation carrying a fine of ₱5,500 based on cited ordinance</x:v>
      </x:c>
      <x:c r="G26" s="13" t="str">
        <x:v>March 26, 2026</x:v>
      </x:c>
      <x:c r="H26" s="13" t="str">
        <x:v>-</x:v>
      </x:c>
      <x:c r="I26" s="13" t="str">
        <x:v>Synthetic example: possible imposable fine is above ₱5,000; outside KP threshold.</x:v>
      </x:c>
      <x:c r="J26" s="13" t="str">
        <x:v>Refer</x:v>
      </x:c>
      <x:c r="K26" s="13" t="str">
        <x:v>NON_KP_REFERRAL</x:v>
      </x:c>
      <x:c r="L26" s="13" t="str">
        <x:v>Not KP; fine threshold exceeded</x:v>
      </x:c>
      <x:c r="M26" s="13" t="str">
        <x:v>Refer to court/prosecutor/proper agency</x:v>
      </x:c>
      <x:c r="N26" s="13" t="str">
        <x:v>Potential imposable fine exceeds ₱5,000 KP threshold.</x:v>
      </x:c>
      <x:c r="O26" s="13" t="str">
        <x:v>Statutory fine ₱5,500</x:v>
      </x:c>
      <x:c r="P26" s="13" t="str">
        <x:v>Violation carrying a fine of ₱5,500 based on cited ordinance</x:v>
      </x:c>
      <x:c r="Q26" s="13" t="str">
        <x:v>Added to balance 'fine-over-5000' to 49 examples using the same Justice KP label schema.</x:v>
      </x:c>
      <x:c r="R26" s="13" t="str">
        <x:v>Synthetic row based on category coverage gap from uploaded PDF</x:v>
      </x:c>
    </x:row>
    <x:row r="27" ht="36" customHeight="1">
      <x:c r="A27" s="13" t="str">
        <x:v>SYN-FINE5K-026</x:v>
      </x:c>
      <x:c r="B27" s="13" t="str">
        <x:v>fine-over-5000</x:v>
      </x:c>
      <x:c r="C27" s="13" t="str">
        <x:v>Synthetic</x:v>
      </x:c>
      <x:c r="D27" s="13" t="str"/>
      <x:c r="E27" s="13" t="str">
        <x:v>Disqualified</x:v>
      </x:c>
      <x:c r="F27" s="13" t="str">
        <x:v>Regulatory complaint with administrative fine above ₱5,000</x:v>
      </x:c>
      <x:c r="G27" s="13" t="str">
        <x:v>March 29, 2026</x:v>
      </x:c>
      <x:c r="H27" s="13" t="str">
        <x:v>-</x:v>
      </x:c>
      <x:c r="I27" s="13" t="str">
        <x:v>Synthetic example: possible imposable fine is above ₱5,000; outside KP threshold.</x:v>
      </x:c>
      <x:c r="J27" s="13" t="str">
        <x:v>Refer</x:v>
      </x:c>
      <x:c r="K27" s="13" t="str">
        <x:v>NON_KP_REFERRAL</x:v>
      </x:c>
      <x:c r="L27" s="13" t="str">
        <x:v>Not KP; fine threshold exceeded</x:v>
      </x:c>
      <x:c r="M27" s="13" t="str">
        <x:v>Refer to court/prosecutor/proper agency</x:v>
      </x:c>
      <x:c r="N27" s="13" t="str">
        <x:v>Potential imposable fine exceeds ₱5,000 KP threshold.</x:v>
      </x:c>
      <x:c r="O27" s="13" t="str">
        <x:v>Statutory fine ₱8,000</x:v>
      </x:c>
      <x:c r="P27" s="13" t="str">
        <x:v>Regulatory complaint with administrative fine above ₱5,000</x:v>
      </x:c>
      <x:c r="Q27" s="13" t="str">
        <x:v>Added to balance 'fine-over-5000' to 49 examples using the same Justice KP label schema.</x:v>
      </x:c>
      <x:c r="R27" s="13" t="str">
        <x:v>Synthetic row based on category coverage gap from uploaded PDF</x:v>
      </x:c>
    </x:row>
    <x:row r="28" ht="36" customHeight="1">
      <x:c r="A28" s="13" t="str">
        <x:v>SYN-FINE5K-027</x:v>
      </x:c>
      <x:c r="B28" s="13" t="str">
        <x:v>fine-over-5000</x:v>
      </x:c>
      <x:c r="C28" s="13" t="str">
        <x:v>Synthetic</x:v>
      </x:c>
      <x:c r="D28" s="13" t="str"/>
      <x:c r="E28" s="13" t="str">
        <x:v>Disqualified</x:v>
      </x:c>
      <x:c r="F28" s="13" t="str">
        <x:v>Case with possible court-imposed fine of ₱8,000</x:v>
      </x:c>
      <x:c r="G28" s="13" t="str">
        <x:v>April 1, 2026</x:v>
      </x:c>
      <x:c r="H28" s="13" t="str">
        <x:v>-</x:v>
      </x:c>
      <x:c r="I28" s="13" t="str">
        <x:v>Synthetic example: possible imposable fine is above ₱5,000; outside KP threshold.</x:v>
      </x:c>
      <x:c r="J28" s="13" t="str">
        <x:v>Refer</x:v>
      </x:c>
      <x:c r="K28" s="13" t="str">
        <x:v>NON_KP_REFERRAL</x:v>
      </x:c>
      <x:c r="L28" s="13" t="str">
        <x:v>Not KP; fine threshold exceeded</x:v>
      </x:c>
      <x:c r="M28" s="13" t="str">
        <x:v>Refer to court/prosecutor/proper agency</x:v>
      </x:c>
      <x:c r="N28" s="13" t="str">
        <x:v>Potential imposable fine exceeds ₱5,000 KP threshold.</x:v>
      </x:c>
      <x:c r="O28" s="13" t="str">
        <x:v>Statutory fine ₱12,000</x:v>
      </x:c>
      <x:c r="P28" s="13" t="str">
        <x:v>Case with possible court-imposed fine of ₱8,000</x:v>
      </x:c>
      <x:c r="Q28" s="13" t="str">
        <x:v>Added to balance 'fine-over-5000' to 49 examples using the same Justice KP label schema.</x:v>
      </x:c>
      <x:c r="R28" s="13" t="str">
        <x:v>Synthetic row based on category coverage gap from uploaded PDF</x:v>
      </x:c>
    </x:row>
    <x:row r="29" ht="36" customHeight="1">
      <x:c r="A29" s="13" t="str">
        <x:v>SYN-FINE5K-028</x:v>
      </x:c>
      <x:c r="B29" s="13" t="str">
        <x:v>fine-over-5000</x:v>
      </x:c>
      <x:c r="C29" s="13" t="str">
        <x:v>Synthetic</x:v>
      </x:c>
      <x:c r="D29" s="13" t="str"/>
      <x:c r="E29" s="13" t="str">
        <x:v>Disqualified</x:v>
      </x:c>
      <x:c r="F29" s="13" t="str">
        <x:v>Complaint tagged because maximum fine exceeds ₱5,000</x:v>
      </x:c>
      <x:c r="G29" s="13" t="str">
        <x:v>April 4, 2026</x:v>
      </x:c>
      <x:c r="H29" s="13" t="str">
        <x:v>-</x:v>
      </x:c>
      <x:c r="I29" s="13" t="str">
        <x:v>Synthetic example: possible imposable fine is above ₱5,000; outside KP threshold.</x:v>
      </x:c>
      <x:c r="J29" s="13" t="str">
        <x:v>Refer</x:v>
      </x:c>
      <x:c r="K29" s="13" t="str">
        <x:v>NON_KP_REFERRAL</x:v>
      </x:c>
      <x:c r="L29" s="13" t="str">
        <x:v>Not KP; fine threshold exceeded</x:v>
      </x:c>
      <x:c r="M29" s="13" t="str">
        <x:v>Refer to court/prosecutor/proper agency</x:v>
      </x:c>
      <x:c r="N29" s="13" t="str">
        <x:v>Potential imposable fine exceeds ₱5,000 KP threshold.</x:v>
      </x:c>
      <x:c r="O29" s="13" t="str">
        <x:v>Statutory fine ₱9,000</x:v>
      </x:c>
      <x:c r="P29" s="13" t="str">
        <x:v>Complaint tagged because maximum fine exceeds ₱5,000</x:v>
      </x:c>
      <x:c r="Q29" s="13" t="str">
        <x:v>Added to balance 'fine-over-5000' to 49 examples using the same Justice KP label schema.</x:v>
      </x:c>
      <x:c r="R29" s="13" t="str">
        <x:v>Synthetic row based on category coverage gap from uploaded PDF</x:v>
      </x:c>
    </x:row>
    <x:row r="30" ht="36" customHeight="1">
      <x:c r="A30" s="13" t="str">
        <x:v>SYN-FINE5K-029</x:v>
      </x:c>
      <x:c r="B30" s="13" t="str">
        <x:v>fine-over-5000</x:v>
      </x:c>
      <x:c r="C30" s="13" t="str">
        <x:v>Synthetic</x:v>
      </x:c>
      <x:c r="D30" s="13" t="str"/>
      <x:c r="E30" s="13" t="str">
        <x:v>Disqualified</x:v>
      </x:c>
      <x:c r="F30" s="13" t="str">
        <x:v>Offense record showing fine range ₱6,000 to ₱12,000</x:v>
      </x:c>
      <x:c r="G30" s="13" t="str">
        <x:v>April 7, 2026</x:v>
      </x:c>
      <x:c r="H30" s="13" t="str">
        <x:v>-</x:v>
      </x:c>
      <x:c r="I30" s="13" t="str">
        <x:v>Synthetic example: possible imposable fine is above ₱5,000; outside KP threshold.</x:v>
      </x:c>
      <x:c r="J30" s="13" t="str">
        <x:v>Refer</x:v>
      </x:c>
      <x:c r="K30" s="13" t="str">
        <x:v>NON_KP_REFERRAL</x:v>
      </x:c>
      <x:c r="L30" s="13" t="str">
        <x:v>Not KP; fine threshold exceeded</x:v>
      </x:c>
      <x:c r="M30" s="13" t="str">
        <x:v>Refer to court/prosecutor/proper agency</x:v>
      </x:c>
      <x:c r="N30" s="13" t="str">
        <x:v>Potential imposable fine exceeds ₱5,000 KP threshold.</x:v>
      </x:c>
      <x:c r="O30" s="13" t="str">
        <x:v>Statutory fine ₱6,000</x:v>
      </x:c>
      <x:c r="P30" s="13" t="str">
        <x:v>Offense record showing fine range ₱6,000 to ₱12,000</x:v>
      </x:c>
      <x:c r="Q30" s="13" t="str">
        <x:v>Added to balance 'fine-over-5000' to 49 examples using the same Justice KP label schema.</x:v>
      </x:c>
      <x:c r="R30" s="13" t="str">
        <x:v>Synthetic row based on category coverage gap from uploaded PDF</x:v>
      </x:c>
    </x:row>
    <x:row r="31" ht="36" customHeight="1">
      <x:c r="A31" s="13" t="str">
        <x:v>SYN-FINE5K-030</x:v>
      </x:c>
      <x:c r="B31" s="13" t="str">
        <x:v>fine-over-5000</x:v>
      </x:c>
      <x:c r="C31" s="13" t="str">
        <x:v>Synthetic</x:v>
      </x:c>
      <x:c r="D31" s="13" t="str"/>
      <x:c r="E31" s="13" t="str">
        <x:v>Disqualified</x:v>
      </x:c>
      <x:c r="F31" s="13" t="str">
        <x:v>Complaint where statutory fine threshold is above barangay limit</x:v>
      </x:c>
      <x:c r="G31" s="13" t="str">
        <x:v>April 10, 2026</x:v>
      </x:c>
      <x:c r="H31" s="13" t="str">
        <x:v>-</x:v>
      </x:c>
      <x:c r="I31" s="13" t="str">
        <x:v>Synthetic example: possible imposable fine is above ₱5,000; outside KP threshold.</x:v>
      </x:c>
      <x:c r="J31" s="13" t="str">
        <x:v>Refer</x:v>
      </x:c>
      <x:c r="K31" s="13" t="str">
        <x:v>NON_KP_REFERRAL</x:v>
      </x:c>
      <x:c r="L31" s="13" t="str">
        <x:v>Not KP; fine threshold exceeded</x:v>
      </x:c>
      <x:c r="M31" s="13" t="str">
        <x:v>Refer to court/prosecutor/proper agency</x:v>
      </x:c>
      <x:c r="N31" s="13" t="str">
        <x:v>Potential imposable fine exceeds ₱5,000 KP threshold.</x:v>
      </x:c>
      <x:c r="O31" s="13" t="str">
        <x:v>Statutory fine ₱7,500</x:v>
      </x:c>
      <x:c r="P31" s="13" t="str">
        <x:v>Complaint where statutory fine threshold is above barangay limit</x:v>
      </x:c>
      <x:c r="Q31" s="13" t="str">
        <x:v>Added to balance 'fine-over-5000' to 49 examples using the same Justice KP label schema.</x:v>
      </x:c>
      <x:c r="R31" s="13" t="str">
        <x:v>Synthetic row based on category coverage gap from uploaded PDF</x:v>
      </x:c>
    </x:row>
    <x:row r="32" ht="36" customHeight="1">
      <x:c r="A32" s="13" t="str">
        <x:v>SYN-FINE5K-031</x:v>
      </x:c>
      <x:c r="B32" s="13" t="str">
        <x:v>fine-over-5000</x:v>
      </x:c>
      <x:c r="C32" s="13" t="str">
        <x:v>Synthetic</x:v>
      </x:c>
      <x:c r="D32" s="13" t="str"/>
      <x:c r="E32" s="13" t="str">
        <x:v>Disqualified</x:v>
      </x:c>
      <x:c r="F32" s="13" t="str">
        <x:v>Reklamo sa offense na may statutory fine na ₱6,000</x:v>
      </x:c>
      <x:c r="G32" s="13" t="str">
        <x:v>April 13, 2026</x:v>
      </x:c>
      <x:c r="H32" s="13" t="str">
        <x:v>-</x:v>
      </x:c>
      <x:c r="I32" s="13" t="str">
        <x:v>Synthetic example: possible imposable fine is above ₱5,000; outside KP threshold.</x:v>
      </x:c>
      <x:c r="J32" s="13" t="str">
        <x:v>Refer</x:v>
      </x:c>
      <x:c r="K32" s="13" t="str">
        <x:v>NON_KP_REFERRAL</x:v>
      </x:c>
      <x:c r="L32" s="13" t="str">
        <x:v>Not KP; fine threshold exceeded</x:v>
      </x:c>
      <x:c r="M32" s="13" t="str">
        <x:v>Refer to court/prosecutor/proper agency</x:v>
      </x:c>
      <x:c r="N32" s="13" t="str">
        <x:v>Potential imposable fine exceeds ₱5,000 KP threshold.</x:v>
      </x:c>
      <x:c r="O32" s="13" t="str">
        <x:v>Statutory fine ₱10,000</x:v>
      </x:c>
      <x:c r="P32" s="13" t="str">
        <x:v>Reklamo sa offense na may statutory fine na ₱6,000</x:v>
      </x:c>
      <x:c r="Q32" s="13" t="str">
        <x:v>Added to balance 'fine-over-5000' to 49 examples using the same Justice KP label schema.</x:v>
      </x:c>
      <x:c r="R32" s="13" t="str">
        <x:v>Synthetic row based on category coverage gap from uploaded PDF</x:v>
      </x:c>
    </x:row>
    <x:row r="33" ht="36" customHeight="1">
      <x:c r="A33" s="13" t="str">
        <x:v>SYN-FINE5K-032</x:v>
      </x:c>
      <x:c r="B33" s="13" t="str">
        <x:v>fine-over-5000</x:v>
      </x:c>
      <x:c r="C33" s="13" t="str">
        <x:v>Synthetic</x:v>
      </x:c>
      <x:c r="D33" s="13" t="str"/>
      <x:c r="E33" s="13" t="str">
        <x:v>Disqualified</x:v>
      </x:c>
      <x:c r="F33" s="13" t="str">
        <x:v>Local ordinance violation na may fine na ₱7,500</x:v>
      </x:c>
      <x:c r="G33" s="13" t="str">
        <x:v>April 16, 2026</x:v>
      </x:c>
      <x:c r="H33" s="13" t="str">
        <x:v>-</x:v>
      </x:c>
      <x:c r="I33" s="13" t="str">
        <x:v>Synthetic example: possible imposable fine is above ₱5,000; outside KP threshold.</x:v>
      </x:c>
      <x:c r="J33" s="13" t="str">
        <x:v>Refer</x:v>
      </x:c>
      <x:c r="K33" s="13" t="str">
        <x:v>NON_KP_REFERRAL</x:v>
      </x:c>
      <x:c r="L33" s="13" t="str">
        <x:v>Not KP; fine threshold exceeded</x:v>
      </x:c>
      <x:c r="M33" s="13" t="str">
        <x:v>Refer to court/prosecutor/proper agency</x:v>
      </x:c>
      <x:c r="N33" s="13" t="str">
        <x:v>Potential imposable fine exceeds ₱5,000 KP threshold.</x:v>
      </x:c>
      <x:c r="O33" s="13" t="str">
        <x:v>Statutory fine ₱5,500</x:v>
      </x:c>
      <x:c r="P33" s="13" t="str">
        <x:v>Local ordinance violation na may fine na ₱7,500</x:v>
      </x:c>
      <x:c r="Q33" s="13" t="str">
        <x:v>Added to balance 'fine-over-5000' to 49 examples using the same Justice KP label schema.</x:v>
      </x:c>
      <x:c r="R33" s="13" t="str">
        <x:v>Synthetic row based on category coverage gap from uploaded PDF</x:v>
      </x:c>
    </x:row>
    <x:row r="34" ht="36" customHeight="1">
      <x:c r="A34" s="13" t="str">
        <x:v>SYN-FINE5K-033</x:v>
      </x:c>
      <x:c r="B34" s="13" t="str">
        <x:v>fine-over-5000</x:v>
      </x:c>
      <x:c r="C34" s="13" t="str">
        <x:v>Synthetic</x:v>
      </x:c>
      <x:c r="D34" s="13" t="str"/>
      <x:c r="E34" s="13" t="str">
        <x:v>Disqualified</x:v>
      </x:c>
      <x:c r="F34" s="13" t="str">
        <x:v>Damage complaint with law-indicated fine above ₱5,000</x:v>
      </x:c>
      <x:c r="G34" s="13" t="str">
        <x:v>April 19, 2026</x:v>
      </x:c>
      <x:c r="H34" s="13" t="str">
        <x:v>-</x:v>
      </x:c>
      <x:c r="I34" s="13" t="str">
        <x:v>Synthetic example: possible imposable fine is above ₱5,000; outside KP threshold.</x:v>
      </x:c>
      <x:c r="J34" s="13" t="str">
        <x:v>Refer</x:v>
      </x:c>
      <x:c r="K34" s="13" t="str">
        <x:v>NON_KP_REFERRAL</x:v>
      </x:c>
      <x:c r="L34" s="13" t="str">
        <x:v>Not KP; fine threshold exceeded</x:v>
      </x:c>
      <x:c r="M34" s="13" t="str">
        <x:v>Refer to court/prosecutor/proper agency</x:v>
      </x:c>
      <x:c r="N34" s="13" t="str">
        <x:v>Potential imposable fine exceeds ₱5,000 KP threshold.</x:v>
      </x:c>
      <x:c r="O34" s="13" t="str">
        <x:v>Statutory fine ₱8,000</x:v>
      </x:c>
      <x:c r="P34" s="13" t="str">
        <x:v>Damage complaint with law-indicated fine above ₱5,000</x:v>
      </x:c>
      <x:c r="Q34" s="13" t="str">
        <x:v>Added to balance 'fine-over-5000' to 49 examples using the same Justice KP label schema.</x:v>
      </x:c>
      <x:c r="R34" s="13" t="str">
        <x:v>Synthetic row based on category coverage gap from uploaded PDF</x:v>
      </x:c>
    </x:row>
    <x:row r="35" ht="36" customHeight="1">
      <x:c r="A35" s="13" t="str">
        <x:v>SYN-FINE5K-034</x:v>
      </x:c>
      <x:c r="B35" s="13" t="str">
        <x:v>fine-over-5000</x:v>
      </x:c>
      <x:c r="C35" s="13" t="str">
        <x:v>Synthetic</x:v>
      </x:c>
      <x:c r="D35" s="13" t="str"/>
      <x:c r="E35" s="13" t="str">
        <x:v>Disqualified</x:v>
      </x:c>
      <x:c r="F35" s="13" t="str">
        <x:v>Complaint where imposable fine is ₱10,000 under applicable rule</x:v>
      </x:c>
      <x:c r="G35" s="13" t="str">
        <x:v>April 22, 2026</x:v>
      </x:c>
      <x:c r="H35" s="13" t="str">
        <x:v>-</x:v>
      </x:c>
      <x:c r="I35" s="13" t="str">
        <x:v>Synthetic example: possible imposable fine is above ₱5,000; outside KP threshold.</x:v>
      </x:c>
      <x:c r="J35" s="13" t="str">
        <x:v>Refer</x:v>
      </x:c>
      <x:c r="K35" s="13" t="str">
        <x:v>NON_KP_REFERRAL</x:v>
      </x:c>
      <x:c r="L35" s="13" t="str">
        <x:v>Not KP; fine threshold exceeded</x:v>
      </x:c>
      <x:c r="M35" s="13" t="str">
        <x:v>Refer to court/prosecutor/proper agency</x:v>
      </x:c>
      <x:c r="N35" s="13" t="str">
        <x:v>Potential imposable fine exceeds ₱5,000 KP threshold.</x:v>
      </x:c>
      <x:c r="O35" s="13" t="str">
        <x:v>Statutory fine ₱12,000</x:v>
      </x:c>
      <x:c r="P35" s="13" t="str">
        <x:v>Complaint where imposable fine is ₱10,000 under applicable rule</x:v>
      </x:c>
      <x:c r="Q35" s="13" t="str">
        <x:v>Added to balance 'fine-over-5000' to 49 examples using the same Justice KP label schema.</x:v>
      </x:c>
      <x:c r="R35" s="13" t="str">
        <x:v>Synthetic row based on category coverage gap from uploaded PDF</x:v>
      </x:c>
    </x:row>
    <x:row r="36" ht="36" customHeight="1">
      <x:c r="A36" s="13" t="str">
        <x:v>SYN-FINE5K-035</x:v>
      </x:c>
      <x:c r="B36" s="13" t="str">
        <x:v>fine-over-5000</x:v>
      </x:c>
      <x:c r="C36" s="13" t="str">
        <x:v>Synthetic</x:v>
      </x:c>
      <x:c r="D36" s="13" t="str"/>
      <x:c r="E36" s="13" t="str">
        <x:v>Disqualified</x:v>
      </x:c>
      <x:c r="F36" s="13" t="str">
        <x:v>Violation carrying a fine of ₱5,500 based on cited ordinance</x:v>
      </x:c>
      <x:c r="G36" s="13" t="str">
        <x:v>April 25, 2026</x:v>
      </x:c>
      <x:c r="H36" s="13" t="str">
        <x:v>-</x:v>
      </x:c>
      <x:c r="I36" s="13" t="str">
        <x:v>Synthetic example: possible imposable fine is above ₱5,000; outside KP threshold.</x:v>
      </x:c>
      <x:c r="J36" s="13" t="str">
        <x:v>Refer</x:v>
      </x:c>
      <x:c r="K36" s="13" t="str">
        <x:v>NON_KP_REFERRAL</x:v>
      </x:c>
      <x:c r="L36" s="13" t="str">
        <x:v>Not KP; fine threshold exceeded</x:v>
      </x:c>
      <x:c r="M36" s="13" t="str">
        <x:v>Refer to court/prosecutor/proper agency</x:v>
      </x:c>
      <x:c r="N36" s="13" t="str">
        <x:v>Potential imposable fine exceeds ₱5,000 KP threshold.</x:v>
      </x:c>
      <x:c r="O36" s="13" t="str">
        <x:v>Statutory fine ₱9,000</x:v>
      </x:c>
      <x:c r="P36" s="13" t="str">
        <x:v>Violation carrying a fine of ₱5,500 based on cited ordinance</x:v>
      </x:c>
      <x:c r="Q36" s="13" t="str">
        <x:v>Added to balance 'fine-over-5000' to 49 examples using the same Justice KP label schema.</x:v>
      </x:c>
      <x:c r="R36" s="13" t="str">
        <x:v>Synthetic row based on category coverage gap from uploaded PDF</x:v>
      </x:c>
    </x:row>
    <x:row r="37" ht="36" customHeight="1">
      <x:c r="A37" s="13" t="str">
        <x:v>SYN-FINE5K-036</x:v>
      </x:c>
      <x:c r="B37" s="13" t="str">
        <x:v>fine-over-5000</x:v>
      </x:c>
      <x:c r="C37" s="13" t="str">
        <x:v>Synthetic</x:v>
      </x:c>
      <x:c r="D37" s="13" t="str"/>
      <x:c r="E37" s="13" t="str">
        <x:v>Disqualified</x:v>
      </x:c>
      <x:c r="F37" s="13" t="str">
        <x:v>Regulatory complaint with administrative fine above ₱5,000</x:v>
      </x:c>
      <x:c r="G37" s="13" t="str">
        <x:v>April 28, 2026</x:v>
      </x:c>
      <x:c r="H37" s="13" t="str">
        <x:v>-</x:v>
      </x:c>
      <x:c r="I37" s="13" t="str">
        <x:v>Synthetic example: possible imposable fine is above ₱5,000; outside KP threshold.</x:v>
      </x:c>
      <x:c r="J37" s="13" t="str">
        <x:v>Refer</x:v>
      </x:c>
      <x:c r="K37" s="13" t="str">
        <x:v>NON_KP_REFERRAL</x:v>
      </x:c>
      <x:c r="L37" s="13" t="str">
        <x:v>Not KP; fine threshold exceeded</x:v>
      </x:c>
      <x:c r="M37" s="13" t="str">
        <x:v>Refer to court/prosecutor/proper agency</x:v>
      </x:c>
      <x:c r="N37" s="13" t="str">
        <x:v>Potential imposable fine exceeds ₱5,000 KP threshold.</x:v>
      </x:c>
      <x:c r="O37" s="13" t="str">
        <x:v>Statutory fine ₱6,000</x:v>
      </x:c>
      <x:c r="P37" s="13" t="str">
        <x:v>Regulatory complaint with administrative fine above ₱5,000</x:v>
      </x:c>
      <x:c r="Q37" s="13" t="str">
        <x:v>Added to balance 'fine-over-5000' to 49 examples using the same Justice KP label schema.</x:v>
      </x:c>
      <x:c r="R37" s="13" t="str">
        <x:v>Synthetic row based on category coverage gap from uploaded PDF</x:v>
      </x:c>
    </x:row>
    <x:row r="38" ht="36" customHeight="1">
      <x:c r="A38" s="13" t="str">
        <x:v>SYN-FINE5K-037</x:v>
      </x:c>
      <x:c r="B38" s="13" t="str">
        <x:v>fine-over-5000</x:v>
      </x:c>
      <x:c r="C38" s="13" t="str">
        <x:v>Synthetic</x:v>
      </x:c>
      <x:c r="D38" s="13" t="str"/>
      <x:c r="E38" s="13" t="str">
        <x:v>Disqualified</x:v>
      </x:c>
      <x:c r="F38" s="13" t="str">
        <x:v>Case with possible court-imposed fine of ₱8,000</x:v>
      </x:c>
      <x:c r="G38" s="13" t="str">
        <x:v>May 1, 2026</x:v>
      </x:c>
      <x:c r="H38" s="13" t="str">
        <x:v>-</x:v>
      </x:c>
      <x:c r="I38" s="13" t="str">
        <x:v>Synthetic example: possible imposable fine is above ₱5,000; outside KP threshold.</x:v>
      </x:c>
      <x:c r="J38" s="13" t="str">
        <x:v>Refer</x:v>
      </x:c>
      <x:c r="K38" s="13" t="str">
        <x:v>NON_KP_REFERRAL</x:v>
      </x:c>
      <x:c r="L38" s="13" t="str">
        <x:v>Not KP; fine threshold exceeded</x:v>
      </x:c>
      <x:c r="M38" s="13" t="str">
        <x:v>Refer to court/prosecutor/proper agency</x:v>
      </x:c>
      <x:c r="N38" s="13" t="str">
        <x:v>Potential imposable fine exceeds ₱5,000 KP threshold.</x:v>
      </x:c>
      <x:c r="O38" s="13" t="str">
        <x:v>Statutory fine ₱7,500</x:v>
      </x:c>
      <x:c r="P38" s="13" t="str">
        <x:v>Case with possible court-imposed fine of ₱8,000</x:v>
      </x:c>
      <x:c r="Q38" s="13" t="str">
        <x:v>Added to balance 'fine-over-5000' to 49 examples using the same Justice KP label schema.</x:v>
      </x:c>
      <x:c r="R38" s="13" t="str">
        <x:v>Synthetic row based on category coverage gap from uploaded PDF</x:v>
      </x:c>
    </x:row>
    <x:row r="39" ht="36" customHeight="1">
      <x:c r="A39" s="13" t="str">
        <x:v>SYN-FINE5K-038</x:v>
      </x:c>
      <x:c r="B39" s="13" t="str">
        <x:v>fine-over-5000</x:v>
      </x:c>
      <x:c r="C39" s="13" t="str">
        <x:v>Synthetic</x:v>
      </x:c>
      <x:c r="D39" s="13" t="str"/>
      <x:c r="E39" s="13" t="str">
        <x:v>Disqualified</x:v>
      </x:c>
      <x:c r="F39" s="13" t="str">
        <x:v>Complaint tagged because maximum fine exceeds ₱5,000</x:v>
      </x:c>
      <x:c r="G39" s="13" t="str">
        <x:v>May 4, 2026</x:v>
      </x:c>
      <x:c r="H39" s="13" t="str">
        <x:v>-</x:v>
      </x:c>
      <x:c r="I39" s="13" t="str">
        <x:v>Synthetic example: possible imposable fine is above ₱5,000; outside KP threshold.</x:v>
      </x:c>
      <x:c r="J39" s="13" t="str">
        <x:v>Refer</x:v>
      </x:c>
      <x:c r="K39" s="13" t="str">
        <x:v>NON_KP_REFERRAL</x:v>
      </x:c>
      <x:c r="L39" s="13" t="str">
        <x:v>Not KP; fine threshold exceeded</x:v>
      </x:c>
      <x:c r="M39" s="13" t="str">
        <x:v>Refer to court/prosecutor/proper agency</x:v>
      </x:c>
      <x:c r="N39" s="13" t="str">
        <x:v>Potential imposable fine exceeds ₱5,000 KP threshold.</x:v>
      </x:c>
      <x:c r="O39" s="13" t="str">
        <x:v>Statutory fine ₱10,000</x:v>
      </x:c>
      <x:c r="P39" s="13" t="str">
        <x:v>Complaint tagged because maximum fine exceeds ₱5,000</x:v>
      </x:c>
      <x:c r="Q39" s="13" t="str">
        <x:v>Added to balance 'fine-over-5000' to 49 examples using the same Justice KP label schema.</x:v>
      </x:c>
      <x:c r="R39" s="13" t="str">
        <x:v>Synthetic row based on category coverage gap from uploaded PDF</x:v>
      </x:c>
    </x:row>
    <x:row r="40" ht="36" customHeight="1">
      <x:c r="A40" s="13" t="str">
        <x:v>SYN-FINE5K-039</x:v>
      </x:c>
      <x:c r="B40" s="13" t="str">
        <x:v>fine-over-5000</x:v>
      </x:c>
      <x:c r="C40" s="13" t="str">
        <x:v>Synthetic</x:v>
      </x:c>
      <x:c r="D40" s="13" t="str"/>
      <x:c r="E40" s="13" t="str">
        <x:v>Disqualified</x:v>
      </x:c>
      <x:c r="F40" s="13" t="str">
        <x:v>Offense record showing fine range ₱6,000 to ₱12,000</x:v>
      </x:c>
      <x:c r="G40" s="13" t="str">
        <x:v>May 7, 2026</x:v>
      </x:c>
      <x:c r="H40" s="13" t="str">
        <x:v>-</x:v>
      </x:c>
      <x:c r="I40" s="13" t="str">
        <x:v>Synthetic example: possible imposable fine is above ₱5,000; outside KP threshold.</x:v>
      </x:c>
      <x:c r="J40" s="13" t="str">
        <x:v>Refer</x:v>
      </x:c>
      <x:c r="K40" s="13" t="str">
        <x:v>NON_KP_REFERRAL</x:v>
      </x:c>
      <x:c r="L40" s="13" t="str">
        <x:v>Not KP; fine threshold exceeded</x:v>
      </x:c>
      <x:c r="M40" s="13" t="str">
        <x:v>Refer to court/prosecutor/proper agency</x:v>
      </x:c>
      <x:c r="N40" s="13" t="str">
        <x:v>Potential imposable fine exceeds ₱5,000 KP threshold.</x:v>
      </x:c>
      <x:c r="O40" s="13" t="str">
        <x:v>Statutory fine ₱5,500</x:v>
      </x:c>
      <x:c r="P40" s="13" t="str">
        <x:v>Offense record showing fine range ₱6,000 to ₱12,000</x:v>
      </x:c>
      <x:c r="Q40" s="13" t="str">
        <x:v>Added to balance 'fine-over-5000' to 49 examples using the same Justice KP label schema.</x:v>
      </x:c>
      <x:c r="R40" s="13" t="str">
        <x:v>Synthetic row based on category coverage gap from uploaded PDF</x:v>
      </x:c>
    </x:row>
    <x:row r="41" ht="36" customHeight="1">
      <x:c r="A41" s="13" t="str">
        <x:v>SYN-FINE5K-040</x:v>
      </x:c>
      <x:c r="B41" s="13" t="str">
        <x:v>fine-over-5000</x:v>
      </x:c>
      <x:c r="C41" s="13" t="str">
        <x:v>Synthetic</x:v>
      </x:c>
      <x:c r="D41" s="13" t="str"/>
      <x:c r="E41" s="13" t="str">
        <x:v>Disqualified</x:v>
      </x:c>
      <x:c r="F41" s="13" t="str">
        <x:v>Complaint where statutory fine threshold is above barangay limit</x:v>
      </x:c>
      <x:c r="G41" s="13" t="str">
        <x:v>May 10, 2026</x:v>
      </x:c>
      <x:c r="H41" s="13" t="str">
        <x:v>-</x:v>
      </x:c>
      <x:c r="I41" s="13" t="str">
        <x:v>Synthetic example: possible imposable fine is above ₱5,000; outside KP threshold.</x:v>
      </x:c>
      <x:c r="J41" s="13" t="str">
        <x:v>Refer</x:v>
      </x:c>
      <x:c r="K41" s="13" t="str">
        <x:v>NON_KP_REFERRAL</x:v>
      </x:c>
      <x:c r="L41" s="13" t="str">
        <x:v>Not KP; fine threshold exceeded</x:v>
      </x:c>
      <x:c r="M41" s="13" t="str">
        <x:v>Refer to court/prosecutor/proper agency</x:v>
      </x:c>
      <x:c r="N41" s="13" t="str">
        <x:v>Potential imposable fine exceeds ₱5,000 KP threshold.</x:v>
      </x:c>
      <x:c r="O41" s="13" t="str">
        <x:v>Statutory fine ₱8,000</x:v>
      </x:c>
      <x:c r="P41" s="13" t="str">
        <x:v>Complaint where statutory fine threshold is above barangay limit</x:v>
      </x:c>
      <x:c r="Q41" s="13" t="str">
        <x:v>Added to balance 'fine-over-5000' to 49 examples using the same Justice KP label schema.</x:v>
      </x:c>
      <x:c r="R41" s="13" t="str">
        <x:v>Synthetic row based on category coverage gap from uploaded PDF</x:v>
      </x:c>
    </x:row>
    <x:row r="42" ht="36" customHeight="1">
      <x:c r="A42" s="13" t="str">
        <x:v>SYN-FINE5K-041</x:v>
      </x:c>
      <x:c r="B42" s="13" t="str">
        <x:v>fine-over-5000</x:v>
      </x:c>
      <x:c r="C42" s="13" t="str">
        <x:v>Synthetic</x:v>
      </x:c>
      <x:c r="D42" s="13" t="str"/>
      <x:c r="E42" s="13" t="str">
        <x:v>Disqualified</x:v>
      </x:c>
      <x:c r="F42" s="13" t="str">
        <x:v>Reklamo sa offense na may statutory fine na ₱6,000</x:v>
      </x:c>
      <x:c r="G42" s="13" t="str">
        <x:v>May 13, 2026</x:v>
      </x:c>
      <x:c r="H42" s="13" t="str">
        <x:v>-</x:v>
      </x:c>
      <x:c r="I42" s="13" t="str">
        <x:v>Synthetic example: possible imposable fine is above ₱5,000; outside KP threshold.</x:v>
      </x:c>
      <x:c r="J42" s="13" t="str">
        <x:v>Refer</x:v>
      </x:c>
      <x:c r="K42" s="13" t="str">
        <x:v>NON_KP_REFERRAL</x:v>
      </x:c>
      <x:c r="L42" s="13" t="str">
        <x:v>Not KP; fine threshold exceeded</x:v>
      </x:c>
      <x:c r="M42" s="13" t="str">
        <x:v>Refer to court/prosecutor/proper agency</x:v>
      </x:c>
      <x:c r="N42" s="13" t="str">
        <x:v>Potential imposable fine exceeds ₱5,000 KP threshold.</x:v>
      </x:c>
      <x:c r="O42" s="13" t="str">
        <x:v>Statutory fine ₱12,000</x:v>
      </x:c>
      <x:c r="P42" s="13" t="str">
        <x:v>Reklamo sa offense na may statutory fine na ₱6,000</x:v>
      </x:c>
      <x:c r="Q42" s="13" t="str">
        <x:v>Added to balance 'fine-over-5000' to 49 examples using the same Justice KP label schema.</x:v>
      </x:c>
      <x:c r="R42" s="13" t="str">
        <x:v>Synthetic row based on category coverage gap from uploaded PDF</x:v>
      </x:c>
    </x:row>
    <x:row r="43" ht="36" customHeight="1">
      <x:c r="A43" s="13" t="str">
        <x:v>SYN-FINE5K-042</x:v>
      </x:c>
      <x:c r="B43" s="13" t="str">
        <x:v>fine-over-5000</x:v>
      </x:c>
      <x:c r="C43" s="13" t="str">
        <x:v>Synthetic</x:v>
      </x:c>
      <x:c r="D43" s="13" t="str"/>
      <x:c r="E43" s="13" t="str">
        <x:v>Disqualified</x:v>
      </x:c>
      <x:c r="F43" s="13" t="str">
        <x:v>Local ordinance violation na may fine na ₱7,500</x:v>
      </x:c>
      <x:c r="G43" s="13" t="str">
        <x:v>May 16, 2026</x:v>
      </x:c>
      <x:c r="H43" s="13" t="str">
        <x:v>-</x:v>
      </x:c>
      <x:c r="I43" s="13" t="str">
        <x:v>Synthetic example: possible imposable fine is above ₱5,000; outside KP threshold.</x:v>
      </x:c>
      <x:c r="J43" s="13" t="str">
        <x:v>Refer</x:v>
      </x:c>
      <x:c r="K43" s="13" t="str">
        <x:v>NON_KP_REFERRAL</x:v>
      </x:c>
      <x:c r="L43" s="13" t="str">
        <x:v>Not KP; fine threshold exceeded</x:v>
      </x:c>
      <x:c r="M43" s="13" t="str">
        <x:v>Refer to court/prosecutor/proper agency</x:v>
      </x:c>
      <x:c r="N43" s="13" t="str">
        <x:v>Potential imposable fine exceeds ₱5,000 KP threshold.</x:v>
      </x:c>
      <x:c r="O43" s="13" t="str">
        <x:v>Statutory fine ₱9,000</x:v>
      </x:c>
      <x:c r="P43" s="13" t="str">
        <x:v>Local ordinance violation na may fine na ₱7,500</x:v>
      </x:c>
      <x:c r="Q43" s="13" t="str">
        <x:v>Added to balance 'fine-over-5000' to 49 examples using the same Justice KP label schema.</x:v>
      </x:c>
      <x:c r="R43" s="13" t="str">
        <x:v>Synthetic row based on category coverage gap from uploaded PDF</x:v>
      </x:c>
    </x:row>
    <x:row r="44" ht="36" customHeight="1">
      <x:c r="A44" s="13" t="str">
        <x:v>SYN-FINE5K-043</x:v>
      </x:c>
      <x:c r="B44" s="13" t="str">
        <x:v>fine-over-5000</x:v>
      </x:c>
      <x:c r="C44" s="13" t="str">
        <x:v>Synthetic</x:v>
      </x:c>
      <x:c r="D44" s="13" t="str"/>
      <x:c r="E44" s="13" t="str">
        <x:v>Disqualified</x:v>
      </x:c>
      <x:c r="F44" s="13" t="str">
        <x:v>Damage complaint with law-indicated fine above ₱5,000</x:v>
      </x:c>
      <x:c r="G44" s="13" t="str">
        <x:v>May 19, 2026</x:v>
      </x:c>
      <x:c r="H44" s="13" t="str">
        <x:v>-</x:v>
      </x:c>
      <x:c r="I44" s="13" t="str">
        <x:v>Synthetic example: possible imposable fine is above ₱5,000; outside KP threshold.</x:v>
      </x:c>
      <x:c r="J44" s="13" t="str">
        <x:v>Refer</x:v>
      </x:c>
      <x:c r="K44" s="13" t="str">
        <x:v>NON_KP_REFERRAL</x:v>
      </x:c>
      <x:c r="L44" s="13" t="str">
        <x:v>Not KP; fine threshold exceeded</x:v>
      </x:c>
      <x:c r="M44" s="13" t="str">
        <x:v>Refer to court/prosecutor/proper agency</x:v>
      </x:c>
      <x:c r="N44" s="13" t="str">
        <x:v>Potential imposable fine exceeds ₱5,000 KP threshold.</x:v>
      </x:c>
      <x:c r="O44" s="13" t="str">
        <x:v>Statutory fine ₱6,000</x:v>
      </x:c>
      <x:c r="P44" s="13" t="str">
        <x:v>Damage complaint with law-indicated fine above ₱5,000</x:v>
      </x:c>
      <x:c r="Q44" s="13" t="str">
        <x:v>Added to balance 'fine-over-5000' to 49 examples using the same Justice KP label schema.</x:v>
      </x:c>
      <x:c r="R44" s="13" t="str">
        <x:v>Synthetic row based on category coverage gap from uploaded PDF</x:v>
      </x:c>
    </x:row>
    <x:row r="45" ht="36" customHeight="1">
      <x:c r="A45" s="13" t="str">
        <x:v>SYN-FINE5K-044</x:v>
      </x:c>
      <x:c r="B45" s="13" t="str">
        <x:v>fine-over-5000</x:v>
      </x:c>
      <x:c r="C45" s="13" t="str">
        <x:v>Synthetic</x:v>
      </x:c>
      <x:c r="D45" s="13" t="str"/>
      <x:c r="E45" s="13" t="str">
        <x:v>Disqualified</x:v>
      </x:c>
      <x:c r="F45" s="13" t="str">
        <x:v>Complaint where imposable fine is ₱10,000 under applicable rule</x:v>
      </x:c>
      <x:c r="G45" s="13" t="str">
        <x:v>May 22, 2026</x:v>
      </x:c>
      <x:c r="H45" s="13" t="str">
        <x:v>-</x:v>
      </x:c>
      <x:c r="I45" s="13" t="str">
        <x:v>Synthetic example: possible imposable fine is above ₱5,000; outside KP threshold.</x:v>
      </x:c>
      <x:c r="J45" s="13" t="str">
        <x:v>Refer</x:v>
      </x:c>
      <x:c r="K45" s="13" t="str">
        <x:v>NON_KP_REFERRAL</x:v>
      </x:c>
      <x:c r="L45" s="13" t="str">
        <x:v>Not KP; fine threshold exceeded</x:v>
      </x:c>
      <x:c r="M45" s="13" t="str">
        <x:v>Refer to court/prosecutor/proper agency</x:v>
      </x:c>
      <x:c r="N45" s="13" t="str">
        <x:v>Potential imposable fine exceeds ₱5,000 KP threshold.</x:v>
      </x:c>
      <x:c r="O45" s="13" t="str">
        <x:v>Statutory fine ₱7,500</x:v>
      </x:c>
      <x:c r="P45" s="13" t="str">
        <x:v>Complaint where imposable fine is ₱10,000 under applicable rule</x:v>
      </x:c>
      <x:c r="Q45" s="13" t="str">
        <x:v>Added to balance 'fine-over-5000' to 49 examples using the same Justice KP label schema.</x:v>
      </x:c>
      <x:c r="R45" s="13" t="str">
        <x:v>Synthetic row based on category coverage gap from uploaded PDF</x:v>
      </x:c>
    </x:row>
    <x:row r="46" ht="36" customHeight="1">
      <x:c r="A46" s="13" t="str">
        <x:v>SYN-FINE5K-045</x:v>
      </x:c>
      <x:c r="B46" s="13" t="str">
        <x:v>fine-over-5000</x:v>
      </x:c>
      <x:c r="C46" s="13" t="str">
        <x:v>Synthetic</x:v>
      </x:c>
      <x:c r="D46" s="13" t="str"/>
      <x:c r="E46" s="13" t="str">
        <x:v>Disqualified</x:v>
      </x:c>
      <x:c r="F46" s="13" t="str">
        <x:v>Violation carrying a fine of ₱5,500 based on cited ordinance</x:v>
      </x:c>
      <x:c r="G46" s="13" t="str">
        <x:v>May 25, 2026</x:v>
      </x:c>
      <x:c r="H46" s="13" t="str">
        <x:v>-</x:v>
      </x:c>
      <x:c r="I46" s="13" t="str">
        <x:v>Synthetic example: possible imposable fine is above ₱5,000; outside KP threshold.</x:v>
      </x:c>
      <x:c r="J46" s="13" t="str">
        <x:v>Refer</x:v>
      </x:c>
      <x:c r="K46" s="13" t="str">
        <x:v>NON_KP_REFERRAL</x:v>
      </x:c>
      <x:c r="L46" s="13" t="str">
        <x:v>Not KP; fine threshold exceeded</x:v>
      </x:c>
      <x:c r="M46" s="13" t="str">
        <x:v>Refer to court/prosecutor/proper agency</x:v>
      </x:c>
      <x:c r="N46" s="13" t="str">
        <x:v>Potential imposable fine exceeds ₱5,000 KP threshold.</x:v>
      </x:c>
      <x:c r="O46" s="13" t="str">
        <x:v>Statutory fine ₱10,000</x:v>
      </x:c>
      <x:c r="P46" s="13" t="str">
        <x:v>Violation carrying a fine of ₱5,500 based on cited ordinance</x:v>
      </x:c>
      <x:c r="Q46" s="13" t="str">
        <x:v>Added to balance 'fine-over-5000' to 49 examples using the same Justice KP label schema.</x:v>
      </x:c>
      <x:c r="R46" s="13" t="str">
        <x:v>Synthetic row based on category coverage gap from uploaded PDF</x:v>
      </x:c>
    </x:row>
    <x:row r="47" ht="36" customHeight="1">
      <x:c r="A47" s="13" t="str">
        <x:v>SYN-FINE5K-046</x:v>
      </x:c>
      <x:c r="B47" s="13" t="str">
        <x:v>fine-over-5000</x:v>
      </x:c>
      <x:c r="C47" s="13" t="str">
        <x:v>Synthetic</x:v>
      </x:c>
      <x:c r="D47" s="13" t="str"/>
      <x:c r="E47" s="13" t="str">
        <x:v>Disqualified</x:v>
      </x:c>
      <x:c r="F47" s="13" t="str">
        <x:v>Regulatory complaint with administrative fine above ₱5,000</x:v>
      </x:c>
      <x:c r="G47" s="13" t="str">
        <x:v>May 28, 2026</x:v>
      </x:c>
      <x:c r="H47" s="13" t="str">
        <x:v>-</x:v>
      </x:c>
      <x:c r="I47" s="13" t="str">
        <x:v>Synthetic example: possible imposable fine is above ₱5,000; outside KP threshold.</x:v>
      </x:c>
      <x:c r="J47" s="13" t="str">
        <x:v>Refer</x:v>
      </x:c>
      <x:c r="K47" s="13" t="str">
        <x:v>NON_KP_REFERRAL</x:v>
      </x:c>
      <x:c r="L47" s="13" t="str">
        <x:v>Not KP; fine threshold exceeded</x:v>
      </x:c>
      <x:c r="M47" s="13" t="str">
        <x:v>Refer to court/prosecutor/proper agency</x:v>
      </x:c>
      <x:c r="N47" s="13" t="str">
        <x:v>Potential imposable fine exceeds ₱5,000 KP threshold.</x:v>
      </x:c>
      <x:c r="O47" s="13" t="str">
        <x:v>Statutory fine ₱5,500</x:v>
      </x:c>
      <x:c r="P47" s="13" t="str">
        <x:v>Regulatory complaint with administrative fine above ₱5,000</x:v>
      </x:c>
      <x:c r="Q47" s="13" t="str">
        <x:v>Added to balance 'fine-over-5000' to 49 examples using the same Justice KP label schema.</x:v>
      </x:c>
      <x:c r="R47" s="13" t="str">
        <x:v>Synthetic row based on category coverage gap from uploaded PDF</x:v>
      </x:c>
    </x:row>
    <x:row r="48" ht="36" customHeight="1">
      <x:c r="A48" s="13" t="str">
        <x:v>SYN-FINE5K-047</x:v>
      </x:c>
      <x:c r="B48" s="13" t="str">
        <x:v>fine-over-5000</x:v>
      </x:c>
      <x:c r="C48" s="13" t="str">
        <x:v>Synthetic</x:v>
      </x:c>
      <x:c r="D48" s="13" t="str"/>
      <x:c r="E48" s="13" t="str">
        <x:v>Disqualified</x:v>
      </x:c>
      <x:c r="F48" s="13" t="str">
        <x:v>Case with possible court-imposed fine of ₱8,000</x:v>
      </x:c>
      <x:c r="G48" s="13" t="str">
        <x:v>May 31, 2026</x:v>
      </x:c>
      <x:c r="H48" s="13" t="str">
        <x:v>-</x:v>
      </x:c>
      <x:c r="I48" s="13" t="str">
        <x:v>Synthetic example: possible imposable fine is above ₱5,000; outside KP threshold.</x:v>
      </x:c>
      <x:c r="J48" s="13" t="str">
        <x:v>Refer</x:v>
      </x:c>
      <x:c r="K48" s="13" t="str">
        <x:v>NON_KP_REFERRAL</x:v>
      </x:c>
      <x:c r="L48" s="13" t="str">
        <x:v>Not KP; fine threshold exceeded</x:v>
      </x:c>
      <x:c r="M48" s="13" t="str">
        <x:v>Refer to court/prosecutor/proper agency</x:v>
      </x:c>
      <x:c r="N48" s="13" t="str">
        <x:v>Potential imposable fine exceeds ₱5,000 KP threshold.</x:v>
      </x:c>
      <x:c r="O48" s="13" t="str">
        <x:v>Statutory fine ₱8,000</x:v>
      </x:c>
      <x:c r="P48" s="13" t="str">
        <x:v>Case with possible court-imposed fine of ₱8,000</x:v>
      </x:c>
      <x:c r="Q48" s="13" t="str">
        <x:v>Added to balance 'fine-over-5000' to 49 examples using the same Justice KP label schema.</x:v>
      </x:c>
      <x:c r="R48" s="13" t="str">
        <x:v>Synthetic row based on category coverage gap from uploaded PDF</x:v>
      </x:c>
    </x:row>
    <x:row r="49" ht="36" customHeight="1">
      <x:c r="A49" s="13" t="str">
        <x:v>SYN-FINE5K-048</x:v>
      </x:c>
      <x:c r="B49" s="13" t="str">
        <x:v>fine-over-5000</x:v>
      </x:c>
      <x:c r="C49" s="13" t="str">
        <x:v>Synthetic</x:v>
      </x:c>
      <x:c r="D49" s="13" t="str"/>
      <x:c r="E49" s="13" t="str">
        <x:v>Disqualified</x:v>
      </x:c>
      <x:c r="F49" s="13" t="str">
        <x:v>Complaint tagged because maximum fine exceeds ₱5,000</x:v>
      </x:c>
      <x:c r="G49" s="13" t="str">
        <x:v>June 3, 2026</x:v>
      </x:c>
      <x:c r="H49" s="13" t="str">
        <x:v>-</x:v>
      </x:c>
      <x:c r="I49" s="13" t="str">
        <x:v>Synthetic example: possible imposable fine is above ₱5,000; outside KP threshold.</x:v>
      </x:c>
      <x:c r="J49" s="13" t="str">
        <x:v>Refer</x:v>
      </x:c>
      <x:c r="K49" s="13" t="str">
        <x:v>NON_KP_REFERRAL</x:v>
      </x:c>
      <x:c r="L49" s="13" t="str">
        <x:v>Not KP; fine threshold exceeded</x:v>
      </x:c>
      <x:c r="M49" s="13" t="str">
        <x:v>Refer to court/prosecutor/proper agency</x:v>
      </x:c>
      <x:c r="N49" s="13" t="str">
        <x:v>Potential imposable fine exceeds ₱5,000 KP threshold.</x:v>
      </x:c>
      <x:c r="O49" s="13" t="str">
        <x:v>Statutory fine ₱12,000</x:v>
      </x:c>
      <x:c r="P49" s="13" t="str">
        <x:v>Complaint tagged because maximum fine exceeds ₱5,000</x:v>
      </x:c>
      <x:c r="Q49" s="13" t="str">
        <x:v>Added to balance 'fine-over-5000' to 49 examples using the same Justice KP label schema.</x:v>
      </x:c>
      <x:c r="R49" s="13" t="str">
        <x:v>Synthetic row based on category coverage gap from uploaded PDF</x:v>
      </x:c>
    </x:row>
    <x:row r="50" ht="36" customHeight="1">
      <x:c r="A50" s="13" t="str">
        <x:v>SYN-FINE5K-049</x:v>
      </x:c>
      <x:c r="B50" s="13" t="str">
        <x:v>fine-over-5000</x:v>
      </x:c>
      <x:c r="C50" s="13" t="str">
        <x:v>Synthetic</x:v>
      </x:c>
      <x:c r="D50" s="13" t="str"/>
      <x:c r="E50" s="13" t="str">
        <x:v>Disqualified</x:v>
      </x:c>
      <x:c r="F50" s="13" t="str">
        <x:v>Offense record showing fine range ₱6,000 to ₱12,000</x:v>
      </x:c>
      <x:c r="G50" s="13" t="str">
        <x:v>June 6, 2026</x:v>
      </x:c>
      <x:c r="H50" s="13" t="str">
        <x:v>-</x:v>
      </x:c>
      <x:c r="I50" s="13" t="str">
        <x:v>Synthetic example: possible imposable fine is above ₱5,000; outside KP threshold.</x:v>
      </x:c>
      <x:c r="J50" s="13" t="str">
        <x:v>Refer</x:v>
      </x:c>
      <x:c r="K50" s="13" t="str">
        <x:v>NON_KP_REFERRAL</x:v>
      </x:c>
      <x:c r="L50" s="13" t="str">
        <x:v>Not KP; fine threshold exceeded</x:v>
      </x:c>
      <x:c r="M50" s="13" t="str">
        <x:v>Refer to court/prosecutor/proper agency</x:v>
      </x:c>
      <x:c r="N50" s="13" t="str">
        <x:v>Potential imposable fine exceeds ₱5,000 KP threshold.</x:v>
      </x:c>
      <x:c r="O50" s="13" t="str">
        <x:v>Statutory fine ₱9,000</x:v>
      </x:c>
      <x:c r="P50" s="13" t="str">
        <x:v>Offense record showing fine range ₱6,000 to ₱12,000</x:v>
      </x:c>
      <x:c r="Q50" s="13" t="str">
        <x:v>Added to balance 'fine-over-5000' to 49 examples using the same Justice KP label schema.</x:v>
      </x:c>
      <x:c r="R50" s="13" t="str">
        <x:v>Synthetic row based on category coverage gap from uploaded PDF</x:v>
      </x:c>
    </x:row>
  </x:sheetData>
  <x:pageMargins left="0.7" right="0.7" top="0.75" bottom="0.75" header="0.3" footer="0.3"/>
  <x:tableParts count="1">
    <x:tablePart xmlns:r="http://schemas.openxmlformats.org/officeDocument/2006/relationships" r:id="R457ceb94b7794ecc"/>
  </x:tableParts>
</x:worksheet>
</file>